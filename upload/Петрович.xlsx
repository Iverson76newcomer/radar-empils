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Петрович " sheetId="4" r:id="rId1"/>
  </sheets>
  <externalReferences>
    <externalReference r:id="rId2"/>
  </externalReferences>
  <definedNames>
    <definedName name="_xlnm._FilterDatabase" localSheetId="0" hidden="1">'Петрович '!$A$2:$O$66</definedName>
  </definedNames>
  <calcPr calcId="144525"/>
</workbook>
</file>

<file path=xl/calcChain.xml><?xml version="1.0" encoding="utf-8"?>
<calcChain xmlns="http://schemas.openxmlformats.org/spreadsheetml/2006/main">
  <c r="AE66" i="4" l="1"/>
  <c r="AD66" i="4"/>
  <c r="AB66" i="4"/>
  <c r="AA66" i="4"/>
  <c r="Z66" i="4"/>
  <c r="AF55" i="4"/>
  <c r="AF54" i="4"/>
  <c r="AF52" i="4"/>
  <c r="AF48" i="4"/>
  <c r="AF47" i="4"/>
  <c r="AF41" i="4"/>
  <c r="AF39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7" i="4"/>
  <c r="AF14" i="4"/>
  <c r="AF11" i="4"/>
  <c r="AF10" i="4"/>
  <c r="AF6" i="4"/>
  <c r="AF5" i="4"/>
  <c r="AF3" i="4"/>
  <c r="AF66" i="4" s="1"/>
</calcChain>
</file>

<file path=xl/sharedStrings.xml><?xml version="1.0" encoding="utf-8"?>
<sst xmlns="http://schemas.openxmlformats.org/spreadsheetml/2006/main" count="209" uniqueCount="98">
  <si>
    <t>Петрович Строительный ТД Санкт-Петербург ООО</t>
  </si>
  <si>
    <t>номер п/п</t>
  </si>
  <si>
    <t>Названия строк</t>
  </si>
  <si>
    <t>Код 1С</t>
  </si>
  <si>
    <t>статус продукта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</si>
  <si>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</si>
  <si>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</si>
  <si>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</si>
  <si>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</si>
  <si>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</si>
  <si>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</si>
  <si>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</si>
  <si>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</si>
  <si>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</si>
  <si>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</si>
  <si>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</si>
  <si>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Краска масляная Расцвет зелёная 20 кг</t>
  </si>
  <si>
    <t>Спецпозиция по прайсу</t>
  </si>
  <si>
    <t>Грунтовка ГФ-021 Расцвет красно-коричневая 12 кг</t>
  </si>
  <si>
    <t>Краска масляная Расцвет коричневая 2.7 кг</t>
  </si>
  <si>
    <t>Грунтовка ГФ-021 Расцвет серая 12 кг</t>
  </si>
  <si>
    <t>Краска масляная Расцвет красная 2.7 кг</t>
  </si>
  <si>
    <t>Действующая</t>
  </si>
  <si>
    <t>Краска масляная Расцвет бежевая 2.7 кг</t>
  </si>
  <si>
    <t>Краска масляная Расцвет серая 2.7 кг</t>
  </si>
  <si>
    <t>Краска масляная Расцвет бежевая 20 кг</t>
  </si>
  <si>
    <t>Краска масляная Расцвет серая 20 кг</t>
  </si>
  <si>
    <t>Краска масляная Расцвет белая 2.7 кг</t>
  </si>
  <si>
    <t>Краска масляная Расцвет синяя 2.7 кг</t>
  </si>
  <si>
    <t>Краска масляная Расцвет белая 20 кг</t>
  </si>
  <si>
    <t>Краска масляная Расцвет сурик 2.7 кг</t>
  </si>
  <si>
    <t>Краска масляная Расцвет жёлтая 2.7 кг</t>
  </si>
  <si>
    <t>Краска масляная Расцвет сурик 20 кг</t>
  </si>
  <si>
    <t>Краска масляная Расцвет жёлтая 20 кг</t>
  </si>
  <si>
    <t>Краска масляная Расцвет чёрная 2.7 кг</t>
  </si>
  <si>
    <t>Краска масляная Расцвет зелёная 2.7 кг</t>
  </si>
  <si>
    <t>Лак для паркета Ореол 1.776 кг</t>
  </si>
  <si>
    <t>Эмаль EMPILS ПФ-115 ЭКОНОМ белая 10 кг</t>
  </si>
  <si>
    <t>Эмаль EMPILS ПФ-115 ЭКОНОМ белая 20 кг</t>
  </si>
  <si>
    <t>Эмаль EMPILS ПФ-115 ЭКОНОМ голубая 20 кг</t>
  </si>
  <si>
    <t>Эмаль EMPILS ПФ-115 ЭКОНОМ жёлтая 20 кг</t>
  </si>
  <si>
    <t>Эмаль EMPILS ПФ-115 ЭКОНОМ зелёная 10 кг</t>
  </si>
  <si>
    <t>Эмаль EMPILS ПФ-115 ЭКОНОМ зелёная 20 кг</t>
  </si>
  <si>
    <t>Эмаль EMPILS ПФ-115 ЭКОНОМ серая 10 кг</t>
  </si>
  <si>
    <t>Эмаль EMPILS ПФ-115 ЭКОНОМ серая 20 кг</t>
  </si>
  <si>
    <t>Эмаль EMPILS ПФ-115 ЭКОНОМ синяя 10 кг</t>
  </si>
  <si>
    <t>Эмаль НЦ-132КП С черная 1.7 кг</t>
  </si>
  <si>
    <t>Товары НЦ</t>
  </si>
  <si>
    <t>Эмаль НЦ-132КП С белая 0.7 кг</t>
  </si>
  <si>
    <t>Эмаль ПФ-115 белая 20 кг</t>
  </si>
  <si>
    <t>Эмаль НЦ-132КП С белая 1.7 кг</t>
  </si>
  <si>
    <t>Эмаль ПФ-115 белая матовая 20 кг</t>
  </si>
  <si>
    <t>Эмаль НЦ-132КП С золотисто-желтая 0.7 кг</t>
  </si>
  <si>
    <t>Эмаль ПФ-115 КМ белая 0.9 кг</t>
  </si>
  <si>
    <t>Сетевой продукт</t>
  </si>
  <si>
    <t>Эмаль НЦ-132КП С золотисто-желтая 1.7 кг</t>
  </si>
  <si>
    <t>Эмаль ПФ-115 КМ белая 1.9 кг</t>
  </si>
  <si>
    <t>Эмаль НЦ-132КП С красная 1.7 кг</t>
  </si>
  <si>
    <t>Эмаль ПФ-115 КМ белая 10 кг</t>
  </si>
  <si>
    <t>Эмаль НЦ-132КП С светло-серая 0.7 кг</t>
  </si>
  <si>
    <t>Эмаль ПФ-115 КМ белая 20 кг</t>
  </si>
  <si>
    <t>Эмаль НЦ-132КП С светло-серая 1.7 кг</t>
  </si>
  <si>
    <t>Эмаль ПФ-115 КМ желтая 0.9 кг</t>
  </si>
  <si>
    <t>Эмаль НЦ-132КП С синяя 1.7 кг</t>
  </si>
  <si>
    <t>Эмаль ПФ-115 КМ желтая 1.9 кг</t>
  </si>
  <si>
    <t>Эмаль НЦ-132КП С черная 0.7 кг</t>
  </si>
  <si>
    <t>Эмаль ПФ-115 КМ желтая 10 кг</t>
  </si>
  <si>
    <t>Эмаль ПФ-115 КМ зеленая 0.9 кг</t>
  </si>
  <si>
    <t>Эмаль ПФ-115 белая РАСЦВЕТ ГОСТ 20 кг</t>
  </si>
  <si>
    <t>Эмаль ПФ-115 КМ зеленая 1.9 кг</t>
  </si>
  <si>
    <t>Эмаль ПФ-115 КМ зеленая 10 кг</t>
  </si>
  <si>
    <t>Эмаль ПФ-115 КМ коричневая 0.9 кг</t>
  </si>
  <si>
    <t>Эмаль ПФ-115 КМ коричневая 1.9 кг</t>
  </si>
  <si>
    <t>Эмаль ПФ-115 КМ коричневая 10 кг</t>
  </si>
  <si>
    <t>Эмаль ПФ-115 КМ красная 0.9 кг</t>
  </si>
  <si>
    <t>Эмаль ПФ-115 КМ красная 1.9 кг</t>
  </si>
  <si>
    <t>Эмаль ПФ-115 КМ красная 10 кг</t>
  </si>
  <si>
    <t>Эмаль ПФ-115 КМ серая 0.9 кг</t>
  </si>
  <si>
    <t>Эмаль ПФ-115 КМ серая 1.9 кг</t>
  </si>
  <si>
    <t>Эмаль ПФ-115 КМ серая 10 кг</t>
  </si>
  <si>
    <t>Эмаль ПФ-115 КМ серая 20 кг</t>
  </si>
  <si>
    <t>Эмаль ПФ-115 КМ синяя 0.9 кг</t>
  </si>
  <si>
    <t>Эмаль ПФ-115 КМ синяя 1.9 кг</t>
  </si>
  <si>
    <t>Эмаль ПФ-115 КМ синяя 10 кг</t>
  </si>
  <si>
    <t>Эмаль ПФ-115 КМ черная 0.9 кг</t>
  </si>
  <si>
    <t>Эмаль ПФ-115 КМ черная 1.9 кг</t>
  </si>
  <si>
    <t>Эмаль ПФ-115 КМ черная 10 кг</t>
  </si>
  <si>
    <t>Эмаль ПФ-115 КМ черная 20 кг</t>
  </si>
  <si>
    <t>Грунт-эмаль по ржавчине 3в1 "ПРОСТОКРАШЕНО!" шоколадная 20 кг</t>
  </si>
  <si>
    <t>Грунт-эмаль по ржавчине 3в1 "ПРОСТОКРАШЕНО!" чёрная 20 кг</t>
  </si>
  <si>
    <t>Грунт-эмаль по ржавчине 3в1 "ПРОСТОКРАШЕНО!" серая 20 кг</t>
  </si>
  <si>
    <t>Грунт-эмаль по ржавчине 3в1 "ПРОСТОКРАШЕНО!" красно-коричневая 20 кг</t>
  </si>
  <si>
    <t>Грунт-эмаль по ржавчине 3в1 "ПРОСТОКРАШЕНО!" жёлтая 20 кг</t>
  </si>
  <si>
    <t>Грунт-эмаль по ржавчине 3в1 "ПРОСТОКРАШЕНО!" зелёная 20 кг</t>
  </si>
  <si>
    <t>Грунт-эмаль по ржавчине 3в1 "ПРОСТОКРАШЕНО!" белая 20 кг</t>
  </si>
  <si>
    <t>Эмаль Расцвет для бетонных полов АК серая 20 кг</t>
  </si>
  <si>
    <t>Новинка продаж</t>
  </si>
  <si>
    <t>Эмаль ПФ-115 СТРОЙКОМПЛЕКТ синяя 20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</si>
</sst>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#,##0_ ;\-#,##0\ "/>
  </numFmts>
  <fonts count="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  <font>
      <sz val="8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1" fillId="0" borderId="0" xfId="1"/>
    <xf numFmtId="0" fontId="1" fillId="3" borderId="0" xfId="1" applyFill="1"/>
    <xf numFmtId="0" fontId="3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17" fontId="4" fillId="0" borderId="2" xfId="1" applyNumberFormat="1" applyFont="1" applyBorder="1" applyAlignment="1">
      <alignment horizontal="center" vertical="center" wrapText="1"/>
    </xf>
    <xf numFmtId="17" fontId="4" fillId="3" borderId="2" xfId="1" applyNumberFormat="1" applyFont="1" applyFill="1" applyBorder="1" applyAlignment="1">
      <alignment horizontal="center" vertical="center" wrapText="1"/>
    </xf>
    <xf numFmtId="17" fontId="4" fillId="4" borderId="2" xfId="1" applyNumberFormat="1" applyFont="1" applyFill="1" applyBorder="1" applyAlignment="1">
      <alignment horizontal="center" vertical="center" wrapText="1"/>
    </xf>
    <xf numFmtId="0" fontId="1" fillId="0" borderId="2" xfId="1" applyBorder="1" applyAlignment="1">
      <alignment horizontal="center" vertical="center"/>
    </xf>
    <xf numFmtId="0" fontId="1" fillId="0" borderId="2" xfId="1" applyBorder="1" applyAlignment="1">
      <alignment horizontal="left" vertical="center" wrapText="1"/>
    </xf>
    <xf numFmtId="0" fontId="1" fillId="0" borderId="2" xfId="1" applyBorder="1" applyAlignment="1">
      <alignment vertical="center"/>
    </xf>
    <xf numFmtId="1" fontId="1" fillId="0" borderId="2" xfId="1" applyNumberFormat="1" applyBorder="1" applyAlignment="1">
      <alignment vertical="center"/>
    </xf>
    <xf numFmtId="0" fontId="1" fillId="0" borderId="0" xfId="1" applyAlignment="1">
      <alignment vertical="center"/>
    </xf>
    <xf numFmtId="0" fontId="1" fillId="0" borderId="0" xfId="1" applyAlignment="1">
      <alignment horizontal="center" vertical="center"/>
    </xf>
    <xf numFmtId="3" fontId="0" fillId="0" borderId="2" xfId="2" applyNumberFormat="1" applyFont="1" applyBorder="1" applyAlignment="1">
      <alignment horizontal="left" vertical="top" wrapText="1"/>
    </xf>
    <xf numFmtId="3" fontId="1" fillId="0" borderId="2" xfId="1" applyNumberFormat="1" applyBorder="1" applyAlignment="1">
      <alignment horizontal="center" vertical="center"/>
    </xf>
    <xf numFmtId="3" fontId="1" fillId="3" borderId="2" xfId="1" applyNumberFormat="1" applyFill="1" applyBorder="1" applyAlignment="1">
      <alignment horizontal="center" vertical="center"/>
    </xf>
    <xf numFmtId="3" fontId="1" fillId="4" borderId="2" xfId="1" applyNumberFormat="1" applyFill="1" applyBorder="1" applyAlignment="1">
      <alignment vertical="center"/>
    </xf>
    <xf numFmtId="3" fontId="1" fillId="0" borderId="0" xfId="1" applyNumberFormat="1" applyAlignment="1">
      <alignment vertical="center"/>
    </xf>
    <xf numFmtId="3" fontId="1" fillId="0" borderId="2" xfId="2" applyNumberFormat="1" applyBorder="1" applyAlignment="1">
      <alignment horizontal="left" vertical="top" wrapText="1"/>
    </xf>
    <xf numFmtId="3" fontId="1" fillId="5" borderId="0" xfId="1" applyNumberFormat="1" applyFill="1" applyAlignment="1">
      <alignment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vertical="center"/>
    </xf>
    <xf numFmtId="0" fontId="5" fillId="0" borderId="2" xfId="1" applyFont="1" applyBorder="1" applyAlignment="1">
      <alignment horizontal="right" vertical="center"/>
    </xf>
    <xf numFmtId="0" fontId="5" fillId="0" borderId="2" xfId="1" applyFont="1" applyBorder="1" applyAlignment="1">
      <alignment vertical="center" wrapText="1"/>
    </xf>
    <xf numFmtId="0" fontId="5" fillId="0" borderId="0" xfId="1" applyFont="1" applyAlignment="1">
      <alignment vertical="center" wrapText="1"/>
    </xf>
    <xf numFmtId="3" fontId="1" fillId="6" borderId="2" xfId="2" applyNumberFormat="1" applyFill="1" applyBorder="1" applyAlignment="1">
      <alignment horizontal="left" vertical="top" wrapText="1"/>
    </xf>
    <xf numFmtId="3" fontId="1" fillId="6" borderId="2" xfId="1" applyNumberFormat="1" applyFill="1" applyBorder="1" applyAlignment="1">
      <alignment horizontal="center" vertical="center"/>
    </xf>
    <xf numFmtId="3" fontId="1" fillId="0" borderId="0" xfId="2" applyNumberFormat="1" applyAlignment="1">
      <alignment horizontal="left" vertical="top" wrapText="1"/>
    </xf>
    <xf numFmtId="3" fontId="1" fillId="0" borderId="0" xfId="1" applyNumberFormat="1" applyAlignment="1">
      <alignment horizontal="center" vertical="center"/>
    </xf>
    <xf numFmtId="3" fontId="1" fillId="3" borderId="0" xfId="1" applyNumberFormat="1" applyFill="1" applyAlignment="1">
      <alignment horizontal="center" vertical="center"/>
    </xf>
    <xf numFmtId="0" fontId="1" fillId="4" borderId="0" xfId="1" applyFill="1"/>
    <xf numFmtId="49" fontId="1" fillId="0" borderId="2" xfId="1" applyNumberFormat="1" applyBorder="1" applyProtection="1">
      <protection locked="0"/>
    </xf>
    <xf numFmtId="1" fontId="1" fillId="0" borderId="0" xfId="1" applyNumberFormat="1"/>
    <xf numFmtId="164" fontId="0" fillId="0" borderId="0" xfId="3" applyNumberFormat="1" applyFont="1"/>
    <xf numFmtId="164" fontId="0" fillId="4" borderId="0" xfId="3" applyNumberFormat="1" applyFont="1" applyFill="1"/>
    <xf numFmtId="14" fontId="3" fillId="4" borderId="0" xfId="1" applyNumberFormat="1" applyFont="1" applyFill="1" applyAlignment="1">
      <alignment horizontal="center"/>
    </xf>
    <xf numFmtId="0" fontId="3" fillId="4" borderId="0" xfId="1" applyFont="1" applyFill="1" applyAlignment="1">
      <alignment horizontal="center"/>
    </xf>
  </cellXfs>
  <cellStyles count="4">
    <cellStyle name="Обычный" xfId="0" builtinId="0"/>
    <cellStyle name="Обычный 2" xfId="1"/>
    <cellStyle name="Обычный_Лист1" xfId="2"/>
    <cellStyle name="Финансов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ustovalov/AppData/Local/Microsoft/Windows/INetCache/Content.Outlook/SPWMU9SQ/&#1055;&#1088;&#1086;&#1075;&#1085;&#1086;&#1079;%20&#1048;&#1102;&#1085;&#1100;-&#1040;&#1074;&#1075;&#1091;&#1089;&#1090;%20&#1060;&#105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ендерная пф-115 15.06.2026"/>
      <sheetName val="без тендера 15.06.2026"/>
    </sheetNames>
    <sheetDataSet>
      <sheetData sheetId="0"/>
      <sheetData sheetId="1">
        <row r="168">
          <cell r="A168">
            <v>5768</v>
          </cell>
          <cell r="B168" t="str">
            <v>Краска масляная Расцвет белая 20 кг</v>
          </cell>
          <cell r="C168" t="str">
            <v/>
          </cell>
          <cell r="D168">
            <v>0</v>
          </cell>
          <cell r="E168">
            <v>20</v>
          </cell>
          <cell r="F168">
            <v>1080</v>
          </cell>
          <cell r="G168">
            <v>2600</v>
          </cell>
          <cell r="H168">
            <v>2180</v>
          </cell>
          <cell r="I168">
            <v>2300</v>
          </cell>
          <cell r="J168">
            <v>3020</v>
          </cell>
          <cell r="K168">
            <v>2520</v>
          </cell>
          <cell r="L168">
            <v>2240</v>
          </cell>
          <cell r="M168">
            <v>1020</v>
          </cell>
          <cell r="N168">
            <v>1680</v>
          </cell>
          <cell r="O168">
            <v>2540</v>
          </cell>
          <cell r="P168">
            <v>2420</v>
          </cell>
          <cell r="Q168">
            <v>2680</v>
          </cell>
          <cell r="R168">
            <v>1800</v>
          </cell>
          <cell r="S168">
            <v>600</v>
          </cell>
          <cell r="T168">
            <v>1040</v>
          </cell>
          <cell r="U168">
            <v>660</v>
          </cell>
          <cell r="V168">
            <v>1500</v>
          </cell>
          <cell r="W168">
            <v>1280</v>
          </cell>
          <cell r="X168">
            <v>2160</v>
          </cell>
          <cell r="Y168">
            <v>3240</v>
          </cell>
          <cell r="Z168">
            <v>1660</v>
          </cell>
          <cell r="AA168">
            <v>1620</v>
          </cell>
          <cell r="AB168">
            <v>1420</v>
          </cell>
          <cell r="AC168">
            <v>1020</v>
          </cell>
          <cell r="AD168">
            <v>480</v>
          </cell>
          <cell r="AE168">
            <v>720</v>
          </cell>
          <cell r="AF168">
            <v>140</v>
          </cell>
          <cell r="AG168">
            <v>260</v>
          </cell>
          <cell r="AH168">
            <v>700</v>
          </cell>
          <cell r="AI168">
            <v>2820</v>
          </cell>
          <cell r="AJ168">
            <v>700</v>
          </cell>
          <cell r="AK168">
            <v>0</v>
          </cell>
          <cell r="AL168">
            <v>0</v>
          </cell>
          <cell r="AM168">
            <v>1.2661870503597121</v>
          </cell>
          <cell r="AN168">
            <v>2734.964028776978</v>
          </cell>
          <cell r="AO168">
            <v>1750</v>
          </cell>
          <cell r="AP168">
            <v>3456.4372469635628</v>
          </cell>
          <cell r="AQ168">
            <v>1994.5936871196877</v>
          </cell>
        </row>
        <row r="169">
          <cell r="A169">
            <v>5811</v>
          </cell>
          <cell r="B169" t="str">
            <v>Краска масляная Расцвет жёлтая 2.7 кг</v>
          </cell>
          <cell r="C169" t="str">
            <v/>
          </cell>
          <cell r="D169">
            <v>0</v>
          </cell>
          <cell r="E169">
            <v>2.7</v>
          </cell>
          <cell r="F169">
            <v>16.2</v>
          </cell>
          <cell r="G169">
            <v>48.6</v>
          </cell>
          <cell r="H169">
            <v>64.8</v>
          </cell>
          <cell r="I169">
            <v>97.2</v>
          </cell>
          <cell r="J169">
            <v>388.8</v>
          </cell>
          <cell r="K169">
            <v>486</v>
          </cell>
          <cell r="L169">
            <v>259.2</v>
          </cell>
          <cell r="M169">
            <v>243</v>
          </cell>
          <cell r="N169">
            <v>307.8</v>
          </cell>
          <cell r="O169">
            <v>162</v>
          </cell>
          <cell r="P169">
            <v>162</v>
          </cell>
          <cell r="Q169">
            <v>48.6</v>
          </cell>
          <cell r="R169">
            <v>32.4</v>
          </cell>
          <cell r="S169">
            <v>210.6</v>
          </cell>
          <cell r="T169">
            <v>32.4</v>
          </cell>
          <cell r="U169">
            <v>48.6</v>
          </cell>
          <cell r="V169">
            <v>243</v>
          </cell>
          <cell r="W169">
            <v>291.60000000000002</v>
          </cell>
          <cell r="X169">
            <v>129.6</v>
          </cell>
          <cell r="Y169">
            <v>210.6</v>
          </cell>
          <cell r="Z169">
            <v>243</v>
          </cell>
          <cell r="AA169">
            <v>129.6</v>
          </cell>
          <cell r="AB169">
            <v>129.6</v>
          </cell>
          <cell r="AC169">
            <v>243</v>
          </cell>
          <cell r="AD169">
            <v>48.6</v>
          </cell>
          <cell r="AE169">
            <v>16.2</v>
          </cell>
          <cell r="AF169">
            <v>0</v>
          </cell>
          <cell r="AG169">
            <v>48.6</v>
          </cell>
          <cell r="AH169">
            <v>194.4</v>
          </cell>
          <cell r="AI169">
            <v>324</v>
          </cell>
          <cell r="AJ169">
            <v>48.6</v>
          </cell>
          <cell r="AK169">
            <v>0</v>
          </cell>
          <cell r="AL169">
            <v>0</v>
          </cell>
          <cell r="AM169">
            <v>0.96969696969696961</v>
          </cell>
          <cell r="AN169">
            <v>125.67272727272726</v>
          </cell>
          <cell r="AO169">
            <v>121.5</v>
          </cell>
          <cell r="AP169">
            <v>202.89512195121947</v>
          </cell>
          <cell r="AQ169">
            <v>249.38273921200752</v>
          </cell>
        </row>
        <row r="170">
          <cell r="A170">
            <v>5824</v>
          </cell>
          <cell r="B170" t="str">
            <v>Краска масляная Расцвет зелёная 2.7 кг</v>
          </cell>
          <cell r="C170" t="str">
            <v/>
          </cell>
          <cell r="D170">
            <v>0</v>
          </cell>
          <cell r="E170">
            <v>2.7</v>
          </cell>
          <cell r="F170">
            <v>48.6</v>
          </cell>
          <cell r="G170">
            <v>97.2</v>
          </cell>
          <cell r="H170">
            <v>16.2</v>
          </cell>
          <cell r="I170">
            <v>48.6</v>
          </cell>
          <cell r="J170">
            <v>113.4</v>
          </cell>
          <cell r="K170">
            <v>405</v>
          </cell>
          <cell r="L170">
            <v>356.4</v>
          </cell>
          <cell r="M170">
            <v>291.60000000000002</v>
          </cell>
          <cell r="N170">
            <v>372.6</v>
          </cell>
          <cell r="O170">
            <v>226.8</v>
          </cell>
          <cell r="P170">
            <v>129.6</v>
          </cell>
          <cell r="Q170">
            <v>64.8</v>
          </cell>
          <cell r="R170">
            <v>48.6</v>
          </cell>
          <cell r="S170">
            <v>129.6</v>
          </cell>
          <cell r="T170">
            <v>16.2</v>
          </cell>
          <cell r="U170">
            <v>32.4</v>
          </cell>
          <cell r="V170">
            <v>162</v>
          </cell>
          <cell r="W170">
            <v>210.6</v>
          </cell>
          <cell r="X170">
            <v>178.2</v>
          </cell>
          <cell r="Y170">
            <v>162</v>
          </cell>
          <cell r="Z170">
            <v>259.2</v>
          </cell>
          <cell r="AA170">
            <v>226.8</v>
          </cell>
          <cell r="AB170">
            <v>259.2</v>
          </cell>
          <cell r="AC170">
            <v>48.6</v>
          </cell>
          <cell r="AD170">
            <v>48.6</v>
          </cell>
          <cell r="AE170">
            <v>16.2</v>
          </cell>
          <cell r="AF170">
            <v>32.4</v>
          </cell>
          <cell r="AG170">
            <v>16.2</v>
          </cell>
          <cell r="AH170">
            <v>0</v>
          </cell>
          <cell r="AI170">
            <v>0</v>
          </cell>
          <cell r="AJ170">
            <v>0</v>
          </cell>
          <cell r="AK170">
            <v>81</v>
          </cell>
          <cell r="AL170">
            <v>0</v>
          </cell>
          <cell r="AM170">
            <v>0</v>
          </cell>
          <cell r="AN170">
            <v>0</v>
          </cell>
          <cell r="AO170">
            <v>202.5</v>
          </cell>
          <cell r="AP170">
            <v>59.558823529411768</v>
          </cell>
          <cell r="AQ170">
            <v>123.32179930795849</v>
          </cell>
        </row>
        <row r="171">
          <cell r="A171">
            <v>5825</v>
          </cell>
          <cell r="B171" t="str">
            <v>Краска масляная Расцвет зелёная 20 кг</v>
          </cell>
          <cell r="C171" t="str">
            <v/>
          </cell>
          <cell r="D171">
            <v>0</v>
          </cell>
          <cell r="E171">
            <v>20</v>
          </cell>
          <cell r="F171">
            <v>80</v>
          </cell>
          <cell r="G171">
            <v>0</v>
          </cell>
          <cell r="H171">
            <v>140</v>
          </cell>
          <cell r="I171">
            <v>40</v>
          </cell>
          <cell r="J171">
            <v>200</v>
          </cell>
          <cell r="K171">
            <v>660</v>
          </cell>
          <cell r="L171">
            <v>520</v>
          </cell>
          <cell r="M171">
            <v>160</v>
          </cell>
          <cell r="N171">
            <v>280</v>
          </cell>
          <cell r="O171">
            <v>80</v>
          </cell>
          <cell r="P171">
            <v>480</v>
          </cell>
          <cell r="Q171">
            <v>80</v>
          </cell>
          <cell r="R171">
            <v>100</v>
          </cell>
          <cell r="S171">
            <v>100</v>
          </cell>
          <cell r="T171">
            <v>180</v>
          </cell>
          <cell r="U171">
            <v>200</v>
          </cell>
          <cell r="V171">
            <v>520</v>
          </cell>
          <cell r="W171">
            <v>420</v>
          </cell>
          <cell r="X171">
            <v>320</v>
          </cell>
          <cell r="Y171">
            <v>620</v>
          </cell>
          <cell r="Z171">
            <v>840</v>
          </cell>
          <cell r="AA171">
            <v>520</v>
          </cell>
          <cell r="AB171">
            <v>160</v>
          </cell>
          <cell r="AC171">
            <v>220</v>
          </cell>
          <cell r="AD171">
            <v>140</v>
          </cell>
          <cell r="AE171">
            <v>80</v>
          </cell>
          <cell r="AF171">
            <v>40</v>
          </cell>
          <cell r="AG171">
            <v>40</v>
          </cell>
          <cell r="AH171">
            <v>120</v>
          </cell>
          <cell r="AI171">
            <v>500</v>
          </cell>
          <cell r="AJ171">
            <v>100</v>
          </cell>
          <cell r="AK171">
            <v>0</v>
          </cell>
          <cell r="AL171">
            <v>0</v>
          </cell>
          <cell r="AM171">
            <v>0.65957446808510634</v>
          </cell>
          <cell r="AN171">
            <v>211.06382978723403</v>
          </cell>
          <cell r="AO171">
            <v>250</v>
          </cell>
          <cell r="AP171">
            <v>428.09523809523807</v>
          </cell>
          <cell r="AQ171">
            <v>727.64705882352939</v>
          </cell>
        </row>
        <row r="172">
          <cell r="A172">
            <v>5847</v>
          </cell>
          <cell r="B172" t="str">
            <v>Краска масляная Расцвет красная 2.7 кг</v>
          </cell>
          <cell r="C172" t="str">
            <v/>
          </cell>
          <cell r="D172">
            <v>0</v>
          </cell>
          <cell r="E172">
            <v>2.7</v>
          </cell>
          <cell r="F172">
            <v>32.4</v>
          </cell>
          <cell r="G172">
            <v>32.4</v>
          </cell>
          <cell r="H172">
            <v>81</v>
          </cell>
          <cell r="I172">
            <v>64.8</v>
          </cell>
          <cell r="J172">
            <v>259.2</v>
          </cell>
          <cell r="K172">
            <v>388.8</v>
          </cell>
          <cell r="L172">
            <v>275.39999999999998</v>
          </cell>
          <cell r="M172">
            <v>372.6</v>
          </cell>
          <cell r="N172">
            <v>291.60000000000002</v>
          </cell>
          <cell r="O172">
            <v>113.4</v>
          </cell>
          <cell r="P172">
            <v>178.2</v>
          </cell>
          <cell r="Q172">
            <v>210.6</v>
          </cell>
          <cell r="R172">
            <v>81</v>
          </cell>
          <cell r="S172">
            <v>194.4</v>
          </cell>
          <cell r="T172">
            <v>388.8</v>
          </cell>
          <cell r="U172">
            <v>210.6</v>
          </cell>
          <cell r="V172">
            <v>324</v>
          </cell>
          <cell r="W172">
            <v>226.8</v>
          </cell>
          <cell r="X172">
            <v>226.8</v>
          </cell>
          <cell r="Y172">
            <v>243</v>
          </cell>
          <cell r="Z172">
            <v>48.6</v>
          </cell>
          <cell r="AA172">
            <v>113.4</v>
          </cell>
          <cell r="AB172">
            <v>81</v>
          </cell>
          <cell r="AC172">
            <v>0</v>
          </cell>
          <cell r="AD172">
            <v>48.6</v>
          </cell>
          <cell r="AE172">
            <v>64.8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113.4</v>
          </cell>
          <cell r="AL172">
            <v>0</v>
          </cell>
          <cell r="AM172">
            <v>0</v>
          </cell>
          <cell r="AN172">
            <v>0</v>
          </cell>
          <cell r="AO172">
            <v>283.5</v>
          </cell>
          <cell r="AP172">
            <v>88.59375</v>
          </cell>
          <cell r="AQ172">
            <v>25.960029069767444</v>
          </cell>
        </row>
        <row r="173">
          <cell r="A173">
            <v>5859</v>
          </cell>
          <cell r="B173" t="str">
            <v>Краска масляная Расцвет синяя 2.7 кг</v>
          </cell>
          <cell r="C173" t="str">
            <v/>
          </cell>
          <cell r="D173">
            <v>0</v>
          </cell>
          <cell r="E173">
            <v>2.7</v>
          </cell>
          <cell r="F173">
            <v>32.4</v>
          </cell>
          <cell r="G173">
            <v>64.8</v>
          </cell>
          <cell r="H173">
            <v>97.2</v>
          </cell>
          <cell r="I173">
            <v>48.6</v>
          </cell>
          <cell r="J173">
            <v>599.4</v>
          </cell>
          <cell r="K173">
            <v>469.8</v>
          </cell>
          <cell r="L173">
            <v>291.60000000000002</v>
          </cell>
          <cell r="M173">
            <v>388.8</v>
          </cell>
          <cell r="N173">
            <v>486</v>
          </cell>
          <cell r="O173">
            <v>129.6</v>
          </cell>
          <cell r="P173">
            <v>275.39999999999998</v>
          </cell>
          <cell r="Q173">
            <v>64.8</v>
          </cell>
          <cell r="R173">
            <v>32.4</v>
          </cell>
          <cell r="S173">
            <v>194.4</v>
          </cell>
          <cell r="T173">
            <v>97.2</v>
          </cell>
          <cell r="U173">
            <v>64.8</v>
          </cell>
          <cell r="V173">
            <v>275.39999999999998</v>
          </cell>
          <cell r="W173">
            <v>226.8</v>
          </cell>
          <cell r="X173">
            <v>178.2</v>
          </cell>
          <cell r="Y173">
            <v>113.4</v>
          </cell>
          <cell r="Z173">
            <v>145.80000000000001</v>
          </cell>
          <cell r="AA173">
            <v>243</v>
          </cell>
          <cell r="AB173">
            <v>145.80000000000001</v>
          </cell>
          <cell r="AC173">
            <v>178.2</v>
          </cell>
          <cell r="AD173">
            <v>129.6</v>
          </cell>
          <cell r="AE173">
            <v>97.2</v>
          </cell>
          <cell r="AF173">
            <v>48.6</v>
          </cell>
          <cell r="AG173">
            <v>16.2</v>
          </cell>
          <cell r="AH173">
            <v>162</v>
          </cell>
          <cell r="AI173">
            <v>97.2</v>
          </cell>
          <cell r="AJ173">
            <v>81</v>
          </cell>
          <cell r="AK173">
            <v>0</v>
          </cell>
          <cell r="AL173">
            <v>0</v>
          </cell>
          <cell r="AM173">
            <v>0.5161290322580645</v>
          </cell>
          <cell r="AN173">
            <v>91.974193548387092</v>
          </cell>
          <cell r="AO173">
            <v>202.5</v>
          </cell>
          <cell r="AP173">
            <v>76.95</v>
          </cell>
          <cell r="AQ173">
            <v>105.93281249999998</v>
          </cell>
        </row>
        <row r="174">
          <cell r="A174">
            <v>5868</v>
          </cell>
          <cell r="B174" t="str">
            <v>Краска масляная Расцвет чёрная 2.7 кг</v>
          </cell>
          <cell r="C174" t="str">
            <v/>
          </cell>
          <cell r="D174">
            <v>0</v>
          </cell>
          <cell r="E174">
            <v>2.7</v>
          </cell>
          <cell r="F174">
            <v>113.4</v>
          </cell>
          <cell r="G174">
            <v>243</v>
          </cell>
          <cell r="H174">
            <v>194.4</v>
          </cell>
          <cell r="I174">
            <v>243</v>
          </cell>
          <cell r="J174">
            <v>340.2</v>
          </cell>
          <cell r="K174">
            <v>502.2</v>
          </cell>
          <cell r="L174">
            <v>388.8</v>
          </cell>
          <cell r="M174">
            <v>437.4</v>
          </cell>
          <cell r="N174">
            <v>469.8</v>
          </cell>
          <cell r="O174">
            <v>453.6</v>
          </cell>
          <cell r="P174">
            <v>324</v>
          </cell>
          <cell r="Q174">
            <v>226.8</v>
          </cell>
          <cell r="R174">
            <v>129.6</v>
          </cell>
          <cell r="S174">
            <v>162</v>
          </cell>
          <cell r="T174">
            <v>388.8</v>
          </cell>
          <cell r="U174">
            <v>372.6</v>
          </cell>
          <cell r="V174">
            <v>648</v>
          </cell>
          <cell r="W174">
            <v>631.79999999999995</v>
          </cell>
          <cell r="X174">
            <v>340.2</v>
          </cell>
          <cell r="Y174">
            <v>324</v>
          </cell>
          <cell r="Z174">
            <v>243</v>
          </cell>
          <cell r="AA174">
            <v>259.2</v>
          </cell>
          <cell r="AB174">
            <v>307.8</v>
          </cell>
          <cell r="AC174">
            <v>162</v>
          </cell>
          <cell r="AD174">
            <v>64.8</v>
          </cell>
          <cell r="AE174">
            <v>48.6</v>
          </cell>
          <cell r="AF174">
            <v>129.6</v>
          </cell>
          <cell r="AG174">
            <v>97.2</v>
          </cell>
          <cell r="AH174">
            <v>648</v>
          </cell>
          <cell r="AI174">
            <v>583.20000000000005</v>
          </cell>
          <cell r="AJ174">
            <v>210.6</v>
          </cell>
          <cell r="AK174">
            <v>0</v>
          </cell>
          <cell r="AL174">
            <v>0</v>
          </cell>
          <cell r="AM174">
            <v>0.96202531645569622</v>
          </cell>
          <cell r="AN174">
            <v>327.28101265822784</v>
          </cell>
          <cell r="AO174">
            <v>526.5</v>
          </cell>
          <cell r="AP174">
            <v>351.53999999999996</v>
          </cell>
          <cell r="AQ174">
            <v>273.98249999999996</v>
          </cell>
        </row>
        <row r="175">
          <cell r="A175">
            <v>6263</v>
          </cell>
          <cell r="B175" t="str">
            <v>Лак для паркета Ореол 1.776 кг</v>
          </cell>
          <cell r="C175" t="str">
            <v/>
          </cell>
          <cell r="D175">
            <v>0</v>
          </cell>
          <cell r="E175">
            <v>1.776</v>
          </cell>
          <cell r="F175">
            <v>28.416</v>
          </cell>
          <cell r="G175">
            <v>21.312000000000001</v>
          </cell>
          <cell r="H175">
            <v>35.520000000000003</v>
          </cell>
          <cell r="I175">
            <v>106.56</v>
          </cell>
          <cell r="J175">
            <v>7.1040000000000001</v>
          </cell>
          <cell r="K175">
            <v>28.416</v>
          </cell>
          <cell r="L175">
            <v>7.1040000000000001</v>
          </cell>
          <cell r="M175">
            <v>28.416</v>
          </cell>
          <cell r="N175">
            <v>56.832000000000001</v>
          </cell>
          <cell r="O175">
            <v>7.1040000000000001</v>
          </cell>
          <cell r="P175">
            <v>14.208</v>
          </cell>
          <cell r="Q175">
            <v>7.1040000000000001</v>
          </cell>
          <cell r="R175">
            <v>0</v>
          </cell>
          <cell r="S175">
            <v>0</v>
          </cell>
          <cell r="T175">
            <v>21.312000000000001</v>
          </cell>
          <cell r="U175">
            <v>21.312000000000001</v>
          </cell>
          <cell r="V175">
            <v>28.416</v>
          </cell>
          <cell r="W175">
            <v>56.832000000000001</v>
          </cell>
          <cell r="X175">
            <v>14.208</v>
          </cell>
          <cell r="Y175">
            <v>35.520000000000003</v>
          </cell>
          <cell r="Z175">
            <v>35.520000000000003</v>
          </cell>
          <cell r="AA175">
            <v>7.1040000000000001</v>
          </cell>
          <cell r="AB175">
            <v>49.728000000000002</v>
          </cell>
          <cell r="AC175">
            <v>0</v>
          </cell>
          <cell r="AD175">
            <v>7.1040000000000001</v>
          </cell>
          <cell r="AE175">
            <v>14.208</v>
          </cell>
          <cell r="AF175">
            <v>7.1040000000000001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42.624000000000002</v>
          </cell>
          <cell r="AL175">
            <v>0</v>
          </cell>
          <cell r="AM175">
            <v>0</v>
          </cell>
          <cell r="AN175">
            <v>0</v>
          </cell>
          <cell r="AO175">
            <v>106.56</v>
          </cell>
          <cell r="AP175">
            <v>38.057142857142857</v>
          </cell>
          <cell r="AQ175">
            <v>48.205714285714286</v>
          </cell>
        </row>
        <row r="176">
          <cell r="A176">
            <v>8301</v>
          </cell>
          <cell r="B176" t="str">
            <v>Эмаль НЦ-132КП С белая 0.7 кг</v>
          </cell>
          <cell r="C176" t="str">
            <v/>
          </cell>
          <cell r="D176">
            <v>0</v>
          </cell>
          <cell r="E176">
            <v>0.7</v>
          </cell>
          <cell r="F176">
            <v>19.600000000000001</v>
          </cell>
          <cell r="G176">
            <v>19.600000000000001</v>
          </cell>
          <cell r="H176">
            <v>9.8000000000000007</v>
          </cell>
          <cell r="I176">
            <v>9.8000000000000007</v>
          </cell>
          <cell r="J176">
            <v>49</v>
          </cell>
          <cell r="K176">
            <v>235.2</v>
          </cell>
          <cell r="L176">
            <v>39.200000000000003</v>
          </cell>
          <cell r="M176">
            <v>29.4</v>
          </cell>
          <cell r="N176">
            <v>9.8000000000000007</v>
          </cell>
          <cell r="O176">
            <v>29.4</v>
          </cell>
          <cell r="P176">
            <v>9.8000000000000007</v>
          </cell>
          <cell r="Q176">
            <v>39.200000000000003</v>
          </cell>
          <cell r="R176">
            <v>0</v>
          </cell>
          <cell r="S176">
            <v>9.8000000000000007</v>
          </cell>
          <cell r="T176">
            <v>9.8000000000000007</v>
          </cell>
          <cell r="U176">
            <v>19.600000000000001</v>
          </cell>
          <cell r="V176">
            <v>137.19999999999999</v>
          </cell>
          <cell r="W176">
            <v>29.4</v>
          </cell>
          <cell r="X176">
            <v>0</v>
          </cell>
          <cell r="Y176">
            <v>49</v>
          </cell>
          <cell r="Z176">
            <v>19.600000000000001</v>
          </cell>
          <cell r="AA176">
            <v>19.600000000000001</v>
          </cell>
          <cell r="AB176">
            <v>29.4</v>
          </cell>
          <cell r="AC176">
            <v>0</v>
          </cell>
          <cell r="AD176">
            <v>9.8000000000000007</v>
          </cell>
          <cell r="AE176">
            <v>19.600000000000001</v>
          </cell>
          <cell r="AF176">
            <v>58.8</v>
          </cell>
          <cell r="AG176">
            <v>78.400000000000006</v>
          </cell>
          <cell r="AH176">
            <v>29.4</v>
          </cell>
          <cell r="AI176">
            <v>39.200000000000003</v>
          </cell>
          <cell r="AJ176">
            <v>19.600000000000001</v>
          </cell>
          <cell r="AK176">
            <v>9.8000000000000007</v>
          </cell>
          <cell r="AL176">
            <v>0</v>
          </cell>
          <cell r="AM176">
            <v>0.41176470588235292</v>
          </cell>
          <cell r="AN176">
            <v>0</v>
          </cell>
          <cell r="AO176">
            <v>73.5</v>
          </cell>
          <cell r="AP176">
            <v>41.794117647058819</v>
          </cell>
          <cell r="AQ176">
            <v>38.623529411764707</v>
          </cell>
        </row>
        <row r="177">
          <cell r="A177">
            <v>8302</v>
          </cell>
          <cell r="B177" t="str">
            <v>Эмаль НЦ-132КП С белая 1.7 кг</v>
          </cell>
          <cell r="C177" t="str">
            <v/>
          </cell>
          <cell r="D177">
            <v>0</v>
          </cell>
          <cell r="E177">
            <v>1.7</v>
          </cell>
          <cell r="F177">
            <v>71.400000000000006</v>
          </cell>
          <cell r="G177">
            <v>40.799999999999997</v>
          </cell>
          <cell r="H177">
            <v>61.2</v>
          </cell>
          <cell r="I177">
            <v>397.8</v>
          </cell>
          <cell r="J177">
            <v>163.19999999999999</v>
          </cell>
          <cell r="K177">
            <v>112.2</v>
          </cell>
          <cell r="L177">
            <v>71.400000000000006</v>
          </cell>
          <cell r="M177">
            <v>51</v>
          </cell>
          <cell r="N177">
            <v>102</v>
          </cell>
          <cell r="O177">
            <v>91.8</v>
          </cell>
          <cell r="P177">
            <v>81.599999999999994</v>
          </cell>
          <cell r="Q177">
            <v>112.2</v>
          </cell>
          <cell r="R177">
            <v>10.199999999999999</v>
          </cell>
          <cell r="S177">
            <v>40.799999999999997</v>
          </cell>
          <cell r="T177">
            <v>51</v>
          </cell>
          <cell r="U177">
            <v>214.2</v>
          </cell>
          <cell r="V177">
            <v>91.8</v>
          </cell>
          <cell r="W177">
            <v>71.400000000000006</v>
          </cell>
          <cell r="X177">
            <v>20.399999999999999</v>
          </cell>
          <cell r="Y177">
            <v>81.599999999999994</v>
          </cell>
          <cell r="Z177">
            <v>0</v>
          </cell>
          <cell r="AA177">
            <v>40.799999999999997</v>
          </cell>
          <cell r="AB177">
            <v>122.4</v>
          </cell>
          <cell r="AC177">
            <v>0</v>
          </cell>
          <cell r="AD177">
            <v>10.199999999999999</v>
          </cell>
          <cell r="AE177">
            <v>0</v>
          </cell>
          <cell r="AF177">
            <v>112.2</v>
          </cell>
          <cell r="AG177">
            <v>193.8</v>
          </cell>
          <cell r="AH177">
            <v>91.8</v>
          </cell>
          <cell r="AI177">
            <v>30.6</v>
          </cell>
          <cell r="AJ177">
            <v>10.199999999999999</v>
          </cell>
          <cell r="AK177">
            <v>0</v>
          </cell>
          <cell r="AL177">
            <v>0</v>
          </cell>
          <cell r="AM177">
            <v>0.75000000000000011</v>
          </cell>
          <cell r="AN177">
            <v>15.3</v>
          </cell>
          <cell r="AO177">
            <v>25.5</v>
          </cell>
          <cell r="AP177">
            <v>65.73333333333332</v>
          </cell>
          <cell r="AQ177">
            <v>0</v>
          </cell>
        </row>
        <row r="178">
          <cell r="A178">
            <v>8316</v>
          </cell>
          <cell r="B178" t="str">
            <v>Эмаль НЦ-132КП С золотисто-желтая 0.7 кг</v>
          </cell>
          <cell r="C178" t="str">
            <v/>
          </cell>
          <cell r="D178">
            <v>0</v>
          </cell>
          <cell r="E178">
            <v>0.7</v>
          </cell>
          <cell r="F178">
            <v>29.4</v>
          </cell>
          <cell r="G178">
            <v>39.200000000000003</v>
          </cell>
          <cell r="H178">
            <v>39.200000000000003</v>
          </cell>
          <cell r="I178">
            <v>68.599999999999994</v>
          </cell>
          <cell r="J178">
            <v>78.400000000000006</v>
          </cell>
          <cell r="K178">
            <v>39.200000000000003</v>
          </cell>
          <cell r="L178">
            <v>9.8000000000000007</v>
          </cell>
          <cell r="M178">
            <v>0</v>
          </cell>
          <cell r="N178">
            <v>0</v>
          </cell>
          <cell r="O178">
            <v>0</v>
          </cell>
          <cell r="P178">
            <v>49</v>
          </cell>
          <cell r="Q178">
            <v>9.8000000000000007</v>
          </cell>
          <cell r="R178">
            <v>0</v>
          </cell>
          <cell r="S178">
            <v>9.8000000000000007</v>
          </cell>
          <cell r="T178">
            <v>9.8000000000000007</v>
          </cell>
          <cell r="U178">
            <v>9.8000000000000007</v>
          </cell>
          <cell r="V178">
            <v>107.8</v>
          </cell>
          <cell r="W178">
            <v>9.8000000000000007</v>
          </cell>
          <cell r="X178">
            <v>9.8000000000000007</v>
          </cell>
          <cell r="Y178">
            <v>39.200000000000003</v>
          </cell>
          <cell r="Z178">
            <v>19.600000000000001</v>
          </cell>
          <cell r="AA178">
            <v>19.600000000000001</v>
          </cell>
          <cell r="AB178">
            <v>29.4</v>
          </cell>
          <cell r="AC178">
            <v>0</v>
          </cell>
          <cell r="AD178">
            <v>0</v>
          </cell>
          <cell r="AE178">
            <v>49</v>
          </cell>
          <cell r="AF178">
            <v>0</v>
          </cell>
          <cell r="AG178">
            <v>0</v>
          </cell>
          <cell r="AH178">
            <v>19.600000000000001</v>
          </cell>
          <cell r="AI178">
            <v>39.200000000000003</v>
          </cell>
          <cell r="AJ178">
            <v>0</v>
          </cell>
          <cell r="AK178">
            <v>9.8000000000000007</v>
          </cell>
          <cell r="AL178">
            <v>0</v>
          </cell>
          <cell r="AM178">
            <v>0.50000000000000011</v>
          </cell>
          <cell r="AN178">
            <v>4.9000000000000012</v>
          </cell>
          <cell r="AO178">
            <v>24.5</v>
          </cell>
          <cell r="AP178">
            <v>25.630769230769232</v>
          </cell>
          <cell r="AQ178">
            <v>29.776923076923083</v>
          </cell>
        </row>
        <row r="179">
          <cell r="A179">
            <v>8317</v>
          </cell>
          <cell r="B179" t="str">
            <v>Эмаль НЦ-132КП С золотисто-желтая 1.7 кг</v>
          </cell>
          <cell r="C179" t="str">
            <v/>
          </cell>
          <cell r="D179">
            <v>0</v>
          </cell>
          <cell r="E179">
            <v>1.7</v>
          </cell>
          <cell r="F179">
            <v>112.2</v>
          </cell>
          <cell r="G179">
            <v>102</v>
          </cell>
          <cell r="H179">
            <v>122.4</v>
          </cell>
          <cell r="I179">
            <v>61.2</v>
          </cell>
          <cell r="J179">
            <v>255</v>
          </cell>
          <cell r="K179">
            <v>122.4</v>
          </cell>
          <cell r="L179">
            <v>81.599999999999994</v>
          </cell>
          <cell r="M179">
            <v>51</v>
          </cell>
          <cell r="N179">
            <v>30.6</v>
          </cell>
          <cell r="O179">
            <v>10.199999999999999</v>
          </cell>
          <cell r="P179">
            <v>30.6</v>
          </cell>
          <cell r="Q179">
            <v>20.399999999999999</v>
          </cell>
          <cell r="R179">
            <v>20.399999999999999</v>
          </cell>
          <cell r="S179">
            <v>10.199999999999999</v>
          </cell>
          <cell r="T179">
            <v>10.199999999999999</v>
          </cell>
          <cell r="U179">
            <v>40.799999999999997</v>
          </cell>
          <cell r="V179">
            <v>153</v>
          </cell>
          <cell r="W179">
            <v>20.399999999999999</v>
          </cell>
          <cell r="X179">
            <v>71.400000000000006</v>
          </cell>
          <cell r="Y179">
            <v>20.399999999999999</v>
          </cell>
          <cell r="Z179">
            <v>20.399999999999999</v>
          </cell>
          <cell r="AA179">
            <v>51</v>
          </cell>
          <cell r="AB179">
            <v>20.399999999999999</v>
          </cell>
          <cell r="AC179">
            <v>20.399999999999999</v>
          </cell>
          <cell r="AD179">
            <v>0</v>
          </cell>
          <cell r="AE179">
            <v>132.6</v>
          </cell>
          <cell r="AF179">
            <v>40.799999999999997</v>
          </cell>
          <cell r="AG179">
            <v>30.6</v>
          </cell>
          <cell r="AH179">
            <v>91.8</v>
          </cell>
          <cell r="AI179">
            <v>20.399999999999999</v>
          </cell>
          <cell r="AJ179">
            <v>30.6</v>
          </cell>
          <cell r="AK179">
            <v>0</v>
          </cell>
          <cell r="AL179">
            <v>0</v>
          </cell>
          <cell r="AM179">
            <v>0.64705882352941169</v>
          </cell>
          <cell r="AN179">
            <v>46.199999999999996</v>
          </cell>
          <cell r="AO179">
            <v>76.5</v>
          </cell>
          <cell r="AP179">
            <v>15.724999999999998</v>
          </cell>
          <cell r="AQ179">
            <v>20.477272727272723</v>
          </cell>
        </row>
        <row r="180">
          <cell r="A180">
            <v>8323</v>
          </cell>
          <cell r="B180" t="str">
            <v>Эмаль НЦ-132КП С красная 1.7 кг</v>
          </cell>
          <cell r="C180" t="str">
            <v/>
          </cell>
          <cell r="D180">
            <v>0</v>
          </cell>
          <cell r="E180">
            <v>1.7</v>
          </cell>
          <cell r="F180">
            <v>30.6</v>
          </cell>
          <cell r="G180">
            <v>20.399999999999999</v>
          </cell>
          <cell r="H180">
            <v>91.8</v>
          </cell>
          <cell r="I180">
            <v>20.399999999999999</v>
          </cell>
          <cell r="J180">
            <v>71.400000000000006</v>
          </cell>
          <cell r="K180">
            <v>71.400000000000006</v>
          </cell>
          <cell r="L180">
            <v>30.6</v>
          </cell>
          <cell r="M180">
            <v>20.399999999999999</v>
          </cell>
          <cell r="N180">
            <v>71.400000000000006</v>
          </cell>
          <cell r="O180">
            <v>91.8</v>
          </cell>
          <cell r="P180">
            <v>71.400000000000006</v>
          </cell>
          <cell r="Q180">
            <v>122.4</v>
          </cell>
          <cell r="R180">
            <v>30.6</v>
          </cell>
          <cell r="S180">
            <v>51</v>
          </cell>
          <cell r="T180">
            <v>20.399999999999999</v>
          </cell>
          <cell r="U180">
            <v>71.400000000000006</v>
          </cell>
          <cell r="V180">
            <v>132.6</v>
          </cell>
          <cell r="W180">
            <v>30.6</v>
          </cell>
          <cell r="X180">
            <v>40.799999999999997</v>
          </cell>
          <cell r="Y180">
            <v>51</v>
          </cell>
          <cell r="Z180">
            <v>0</v>
          </cell>
          <cell r="AA180">
            <v>51</v>
          </cell>
          <cell r="AB180">
            <v>91.8</v>
          </cell>
          <cell r="AC180">
            <v>10.199999999999999</v>
          </cell>
          <cell r="AD180">
            <v>71.400000000000006</v>
          </cell>
          <cell r="AE180">
            <v>10.199999999999999</v>
          </cell>
          <cell r="AF180">
            <v>51</v>
          </cell>
          <cell r="AG180">
            <v>30.6</v>
          </cell>
          <cell r="AH180">
            <v>61.2</v>
          </cell>
          <cell r="AI180">
            <v>102</v>
          </cell>
          <cell r="AJ180">
            <v>10.199999999999999</v>
          </cell>
          <cell r="AK180">
            <v>0</v>
          </cell>
          <cell r="AL180">
            <v>0</v>
          </cell>
          <cell r="AM180">
            <v>1</v>
          </cell>
          <cell r="AN180">
            <v>40.799999999999997</v>
          </cell>
          <cell r="AO180">
            <v>25.5</v>
          </cell>
          <cell r="AP180">
            <v>47.174999999999997</v>
          </cell>
          <cell r="AQ180">
            <v>0</v>
          </cell>
        </row>
        <row r="181">
          <cell r="A181">
            <v>8327</v>
          </cell>
          <cell r="B181" t="str">
            <v>Эмаль НЦ-132КП С светло-серая 0.7 кг</v>
          </cell>
          <cell r="C181" t="str">
            <v/>
          </cell>
          <cell r="D181">
            <v>0</v>
          </cell>
          <cell r="E181">
            <v>0.7</v>
          </cell>
          <cell r="F181">
            <v>29.4</v>
          </cell>
          <cell r="G181">
            <v>0</v>
          </cell>
          <cell r="H181">
            <v>9.8000000000000007</v>
          </cell>
          <cell r="I181">
            <v>29.4</v>
          </cell>
          <cell r="J181">
            <v>58.8</v>
          </cell>
          <cell r="K181">
            <v>19.600000000000001</v>
          </cell>
          <cell r="L181">
            <v>29.4</v>
          </cell>
          <cell r="M181">
            <v>0</v>
          </cell>
          <cell r="N181">
            <v>19.600000000000001</v>
          </cell>
          <cell r="O181">
            <v>49</v>
          </cell>
          <cell r="P181">
            <v>68.599999999999994</v>
          </cell>
          <cell r="Q181">
            <v>9.8000000000000007</v>
          </cell>
          <cell r="R181">
            <v>39.200000000000003</v>
          </cell>
          <cell r="S181">
            <v>9.8000000000000007</v>
          </cell>
          <cell r="T181">
            <v>19.600000000000001</v>
          </cell>
          <cell r="U181">
            <v>0</v>
          </cell>
          <cell r="V181">
            <v>49</v>
          </cell>
          <cell r="W181">
            <v>9.8000000000000007</v>
          </cell>
          <cell r="X181">
            <v>0</v>
          </cell>
          <cell r="Y181">
            <v>68.599999999999994</v>
          </cell>
          <cell r="Z181">
            <v>0</v>
          </cell>
          <cell r="AA181">
            <v>9.8000000000000007</v>
          </cell>
          <cell r="AB181">
            <v>39.200000000000003</v>
          </cell>
          <cell r="AC181">
            <v>49</v>
          </cell>
          <cell r="AD181">
            <v>9.8000000000000007</v>
          </cell>
          <cell r="AE181">
            <v>19.600000000000001</v>
          </cell>
          <cell r="AF181">
            <v>19.600000000000001</v>
          </cell>
          <cell r="AG181">
            <v>19.600000000000001</v>
          </cell>
          <cell r="AH181">
            <v>9.8000000000000007</v>
          </cell>
          <cell r="AI181">
            <v>29.4</v>
          </cell>
          <cell r="AJ181">
            <v>39.200000000000003</v>
          </cell>
          <cell r="AK181">
            <v>0</v>
          </cell>
          <cell r="AL181">
            <v>0</v>
          </cell>
          <cell r="AM181">
            <v>0.66666666666666674</v>
          </cell>
          <cell r="AN181">
            <v>0</v>
          </cell>
          <cell r="AO181">
            <v>98</v>
          </cell>
          <cell r="AP181">
            <v>160.06666666666669</v>
          </cell>
          <cell r="AQ181">
            <v>0</v>
          </cell>
        </row>
        <row r="182">
          <cell r="A182">
            <v>8328</v>
          </cell>
          <cell r="B182" t="str">
            <v>Эмаль НЦ-132КП С светло-серая 1.7 кг</v>
          </cell>
          <cell r="C182" t="str">
            <v/>
          </cell>
          <cell r="D182">
            <v>0</v>
          </cell>
          <cell r="E182">
            <v>1.7</v>
          </cell>
          <cell r="F182">
            <v>61.2</v>
          </cell>
          <cell r="G182">
            <v>81.599999999999994</v>
          </cell>
          <cell r="H182">
            <v>61.2</v>
          </cell>
          <cell r="I182">
            <v>81.599999999999994</v>
          </cell>
          <cell r="J182">
            <v>183.6</v>
          </cell>
          <cell r="K182">
            <v>142.80000000000001</v>
          </cell>
          <cell r="L182">
            <v>81.599999999999994</v>
          </cell>
          <cell r="M182">
            <v>91.8</v>
          </cell>
          <cell r="N182">
            <v>81.599999999999994</v>
          </cell>
          <cell r="O182">
            <v>71.400000000000006</v>
          </cell>
          <cell r="P182">
            <v>173.4</v>
          </cell>
          <cell r="Q182">
            <v>71.400000000000006</v>
          </cell>
          <cell r="R182">
            <v>20.399999999999999</v>
          </cell>
          <cell r="S182">
            <v>51</v>
          </cell>
          <cell r="T182">
            <v>30.6</v>
          </cell>
          <cell r="U182">
            <v>122.4</v>
          </cell>
          <cell r="V182">
            <v>244.8</v>
          </cell>
          <cell r="W182">
            <v>91.8</v>
          </cell>
          <cell r="X182">
            <v>40.799999999999997</v>
          </cell>
          <cell r="Y182">
            <v>51</v>
          </cell>
          <cell r="Z182">
            <v>10.199999999999999</v>
          </cell>
          <cell r="AA182">
            <v>102</v>
          </cell>
          <cell r="AB182">
            <v>102</v>
          </cell>
          <cell r="AC182">
            <v>91.8</v>
          </cell>
          <cell r="AD182">
            <v>51</v>
          </cell>
          <cell r="AE182">
            <v>20.399999999999999</v>
          </cell>
          <cell r="AF182">
            <v>61.2</v>
          </cell>
          <cell r="AG182">
            <v>0</v>
          </cell>
          <cell r="AH182">
            <v>61.2</v>
          </cell>
          <cell r="AI182">
            <v>142.80000000000001</v>
          </cell>
          <cell r="AJ182">
            <v>40.799999999999997</v>
          </cell>
          <cell r="AK182">
            <v>0</v>
          </cell>
          <cell r="AL182">
            <v>0</v>
          </cell>
          <cell r="AM182">
            <v>0.60606060606060597</v>
          </cell>
          <cell r="AN182">
            <v>24.727272727272723</v>
          </cell>
          <cell r="AO182">
            <v>102</v>
          </cell>
          <cell r="AP182">
            <v>41.351351351351354</v>
          </cell>
          <cell r="AQ182">
            <v>15.897297297297296</v>
          </cell>
        </row>
        <row r="183">
          <cell r="A183">
            <v>8333</v>
          </cell>
          <cell r="B183" t="str">
            <v>Эмаль НЦ-132КП С синяя 1.7 кг</v>
          </cell>
          <cell r="C183" t="str">
            <v/>
          </cell>
          <cell r="D183">
            <v>0</v>
          </cell>
          <cell r="E183">
            <v>1.7</v>
          </cell>
          <cell r="F183">
            <v>10.199999999999999</v>
          </cell>
          <cell r="G183">
            <v>51</v>
          </cell>
          <cell r="H183">
            <v>51</v>
          </cell>
          <cell r="I183">
            <v>102</v>
          </cell>
          <cell r="J183">
            <v>61.2</v>
          </cell>
          <cell r="K183">
            <v>91.8</v>
          </cell>
          <cell r="L183">
            <v>61.2</v>
          </cell>
          <cell r="M183">
            <v>30.6</v>
          </cell>
          <cell r="N183">
            <v>40.799999999999997</v>
          </cell>
          <cell r="O183">
            <v>30.6</v>
          </cell>
          <cell r="P183">
            <v>40.799999999999997</v>
          </cell>
          <cell r="Q183">
            <v>61.2</v>
          </cell>
          <cell r="R183">
            <v>30.6</v>
          </cell>
          <cell r="S183">
            <v>20.399999999999999</v>
          </cell>
          <cell r="T183">
            <v>10.199999999999999</v>
          </cell>
          <cell r="U183">
            <v>20.399999999999999</v>
          </cell>
          <cell r="V183">
            <v>295.8</v>
          </cell>
          <cell r="W183">
            <v>20.399999999999999</v>
          </cell>
          <cell r="X183">
            <v>30.6</v>
          </cell>
          <cell r="Y183">
            <v>40.799999999999997</v>
          </cell>
          <cell r="Z183">
            <v>30.6</v>
          </cell>
          <cell r="AA183">
            <v>30.6</v>
          </cell>
          <cell r="AB183">
            <v>30.6</v>
          </cell>
          <cell r="AC183">
            <v>91.8</v>
          </cell>
          <cell r="AD183">
            <v>51</v>
          </cell>
          <cell r="AE183">
            <v>122.4</v>
          </cell>
          <cell r="AF183">
            <v>61.2</v>
          </cell>
          <cell r="AG183">
            <v>20.399999999999999</v>
          </cell>
          <cell r="AH183">
            <v>51</v>
          </cell>
          <cell r="AI183">
            <v>20.399999999999999</v>
          </cell>
          <cell r="AJ183">
            <v>71.400000000000006</v>
          </cell>
          <cell r="AK183">
            <v>20.399999999999999</v>
          </cell>
          <cell r="AL183">
            <v>0</v>
          </cell>
          <cell r="AM183">
            <v>0.22580645161290325</v>
          </cell>
          <cell r="AN183">
            <v>6.90967741935484</v>
          </cell>
          <cell r="AO183">
            <v>229.50000000000003</v>
          </cell>
          <cell r="AP183">
            <v>35.4</v>
          </cell>
          <cell r="AQ183">
            <v>95.1</v>
          </cell>
        </row>
        <row r="184">
          <cell r="A184">
            <v>8337</v>
          </cell>
          <cell r="B184" t="str">
            <v>Эмаль НЦ-132КП С черная 0.7 кг</v>
          </cell>
          <cell r="C184" t="str">
            <v/>
          </cell>
          <cell r="D184">
            <v>0</v>
          </cell>
          <cell r="E184">
            <v>0.7</v>
          </cell>
          <cell r="F184">
            <v>0</v>
          </cell>
          <cell r="G184">
            <v>39.200000000000003</v>
          </cell>
          <cell r="H184">
            <v>19.600000000000001</v>
          </cell>
          <cell r="I184">
            <v>49</v>
          </cell>
          <cell r="J184">
            <v>39.200000000000003</v>
          </cell>
          <cell r="K184">
            <v>117.6</v>
          </cell>
          <cell r="L184">
            <v>49</v>
          </cell>
          <cell r="M184">
            <v>9.8000000000000007</v>
          </cell>
          <cell r="N184">
            <v>19.600000000000001</v>
          </cell>
          <cell r="O184">
            <v>29.4</v>
          </cell>
          <cell r="P184">
            <v>49</v>
          </cell>
          <cell r="Q184">
            <v>9.8000000000000007</v>
          </cell>
          <cell r="R184">
            <v>9.8000000000000007</v>
          </cell>
          <cell r="S184">
            <v>19.600000000000001</v>
          </cell>
          <cell r="T184">
            <v>9.8000000000000007</v>
          </cell>
          <cell r="U184">
            <v>19.600000000000001</v>
          </cell>
          <cell r="V184">
            <v>78.400000000000006</v>
          </cell>
          <cell r="W184">
            <v>0</v>
          </cell>
          <cell r="X184">
            <v>19.600000000000001</v>
          </cell>
          <cell r="Y184">
            <v>68.599999999999994</v>
          </cell>
          <cell r="Z184">
            <v>9.8000000000000007</v>
          </cell>
          <cell r="AA184">
            <v>29.4</v>
          </cell>
          <cell r="AB184">
            <v>39.200000000000003</v>
          </cell>
          <cell r="AC184">
            <v>19.600000000000001</v>
          </cell>
          <cell r="AD184">
            <v>9.8000000000000007</v>
          </cell>
          <cell r="AE184">
            <v>9.8000000000000007</v>
          </cell>
          <cell r="AF184">
            <v>19.600000000000001</v>
          </cell>
          <cell r="AG184">
            <v>29.4</v>
          </cell>
          <cell r="AH184">
            <v>9.8000000000000007</v>
          </cell>
          <cell r="AI184">
            <v>107.8</v>
          </cell>
          <cell r="AJ184">
            <v>9.8000000000000007</v>
          </cell>
          <cell r="AK184">
            <v>0</v>
          </cell>
          <cell r="AL184">
            <v>0</v>
          </cell>
          <cell r="AM184">
            <v>1.4999999999999998</v>
          </cell>
          <cell r="AN184">
            <v>29.4</v>
          </cell>
          <cell r="AO184">
            <v>24.5</v>
          </cell>
          <cell r="AP184">
            <v>99.47</v>
          </cell>
          <cell r="AQ184">
            <v>25.752222222222223</v>
          </cell>
        </row>
        <row r="185">
          <cell r="A185">
            <v>8338</v>
          </cell>
          <cell r="B185" t="str">
            <v>Эмаль НЦ-132КП С черная 1.7 кг</v>
          </cell>
          <cell r="C185" t="str">
            <v/>
          </cell>
          <cell r="D185">
            <v>0</v>
          </cell>
          <cell r="E185">
            <v>1.7</v>
          </cell>
          <cell r="F185">
            <v>51</v>
          </cell>
          <cell r="G185">
            <v>81.599999999999994</v>
          </cell>
          <cell r="H185">
            <v>122.4</v>
          </cell>
          <cell r="I185">
            <v>51</v>
          </cell>
          <cell r="J185">
            <v>142.80000000000001</v>
          </cell>
          <cell r="K185">
            <v>214.2</v>
          </cell>
          <cell r="L185">
            <v>132.6</v>
          </cell>
          <cell r="M185">
            <v>153</v>
          </cell>
          <cell r="N185">
            <v>91.8</v>
          </cell>
          <cell r="O185">
            <v>163.19999999999999</v>
          </cell>
          <cell r="P185">
            <v>71.400000000000006</v>
          </cell>
          <cell r="Q185">
            <v>81.599999999999994</v>
          </cell>
          <cell r="R185">
            <v>40.799999999999997</v>
          </cell>
          <cell r="S185">
            <v>51</v>
          </cell>
          <cell r="T185">
            <v>61.2</v>
          </cell>
          <cell r="U185">
            <v>30.6</v>
          </cell>
          <cell r="V185">
            <v>102</v>
          </cell>
          <cell r="W185">
            <v>112.2</v>
          </cell>
          <cell r="X185">
            <v>81.599999999999994</v>
          </cell>
          <cell r="Y185">
            <v>173.4</v>
          </cell>
          <cell r="Z185">
            <v>30.6</v>
          </cell>
          <cell r="AA185">
            <v>81.599999999999994</v>
          </cell>
          <cell r="AB185">
            <v>244.8</v>
          </cell>
          <cell r="AC185">
            <v>91.8</v>
          </cell>
          <cell r="AD185">
            <v>102</v>
          </cell>
          <cell r="AE185">
            <v>0</v>
          </cell>
          <cell r="AF185">
            <v>20.399999999999999</v>
          </cell>
          <cell r="AG185">
            <v>102</v>
          </cell>
          <cell r="AH185">
            <v>40.799999999999997</v>
          </cell>
          <cell r="AI185">
            <v>163.19999999999999</v>
          </cell>
          <cell r="AJ185">
            <v>10.199999999999999</v>
          </cell>
          <cell r="AK185">
            <v>20.399999999999999</v>
          </cell>
          <cell r="AL185">
            <v>0</v>
          </cell>
          <cell r="AM185">
            <v>0.95238095238095244</v>
          </cell>
          <cell r="AN185">
            <v>77.714285714285708</v>
          </cell>
          <cell r="AO185">
            <v>76.5</v>
          </cell>
          <cell r="AP185">
            <v>164.43103448275863</v>
          </cell>
          <cell r="AQ185">
            <v>33.677586206896557</v>
          </cell>
        </row>
        <row r="186">
          <cell r="A186">
            <v>9028</v>
          </cell>
          <cell r="B186" t="str">
            <v>Эмаль ПФ-115 белая матовая 20 кг</v>
          </cell>
          <cell r="C186" t="str">
            <v/>
          </cell>
          <cell r="D186">
            <v>0</v>
          </cell>
          <cell r="E186">
            <v>20</v>
          </cell>
          <cell r="F186">
            <v>80</v>
          </cell>
          <cell r="G186">
            <v>140</v>
          </cell>
          <cell r="H186">
            <v>120</v>
          </cell>
          <cell r="I186">
            <v>300</v>
          </cell>
          <cell r="J186">
            <v>80</v>
          </cell>
          <cell r="K186">
            <v>460</v>
          </cell>
          <cell r="L186">
            <v>300</v>
          </cell>
          <cell r="M186">
            <v>420</v>
          </cell>
          <cell r="N186">
            <v>640</v>
          </cell>
          <cell r="O186">
            <v>460</v>
          </cell>
          <cell r="P186">
            <v>780</v>
          </cell>
          <cell r="Q186">
            <v>320</v>
          </cell>
          <cell r="R186">
            <v>260</v>
          </cell>
          <cell r="S186">
            <v>200</v>
          </cell>
          <cell r="T186">
            <v>80</v>
          </cell>
          <cell r="U186">
            <v>160</v>
          </cell>
          <cell r="V186">
            <v>340</v>
          </cell>
          <cell r="W186">
            <v>300</v>
          </cell>
          <cell r="X186">
            <v>400</v>
          </cell>
          <cell r="Y186">
            <v>480</v>
          </cell>
          <cell r="Z186">
            <v>440</v>
          </cell>
          <cell r="AA186">
            <v>240</v>
          </cell>
          <cell r="AB186">
            <v>440</v>
          </cell>
          <cell r="AC186">
            <v>220</v>
          </cell>
          <cell r="AD186">
            <v>420</v>
          </cell>
          <cell r="AE186">
            <v>260</v>
          </cell>
          <cell r="AF186">
            <v>20</v>
          </cell>
          <cell r="AG186">
            <v>20</v>
          </cell>
          <cell r="AH186">
            <v>100</v>
          </cell>
          <cell r="AI186">
            <v>300</v>
          </cell>
          <cell r="AJ186">
            <v>40</v>
          </cell>
          <cell r="AK186">
            <v>0</v>
          </cell>
          <cell r="AL186">
            <v>0</v>
          </cell>
          <cell r="AM186">
            <v>0.625</v>
          </cell>
          <cell r="AN186">
            <v>250</v>
          </cell>
          <cell r="AO186">
            <v>100</v>
          </cell>
          <cell r="AP186">
            <v>230.76923076923077</v>
          </cell>
          <cell r="AQ186">
            <v>235.20208604954365</v>
          </cell>
        </row>
        <row r="187">
          <cell r="A187">
            <v>65156</v>
          </cell>
          <cell r="B187" t="str">
            <v>Эмаль ПФ-115 белая РАСЦВЕТ ГОСТ 20 кг</v>
          </cell>
          <cell r="C187" t="str">
            <v/>
          </cell>
          <cell r="D187">
            <v>0</v>
          </cell>
          <cell r="E187">
            <v>20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220</v>
          </cell>
          <cell r="AA187">
            <v>0</v>
          </cell>
          <cell r="AB187">
            <v>220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260</v>
          </cell>
          <cell r="AM187" t="e">
            <v>#DIV/0!</v>
          </cell>
          <cell r="AN187" t="e">
            <v>#DIV/0!</v>
          </cell>
          <cell r="AO187">
            <v>0</v>
          </cell>
          <cell r="AP187">
            <v>0</v>
          </cell>
          <cell r="AQ187">
            <v>0</v>
          </cell>
        </row>
        <row r="188">
          <cell r="A188">
            <v>67084</v>
          </cell>
          <cell r="B188" t="str">
            <v>Краска масляная Расцвет серая 2.7 кг</v>
          </cell>
          <cell r="C188" t="str">
            <v/>
          </cell>
          <cell r="D188">
            <v>0</v>
          </cell>
          <cell r="E188">
            <v>2.7</v>
          </cell>
          <cell r="F188">
            <v>226.8</v>
          </cell>
          <cell r="G188">
            <v>226.8</v>
          </cell>
          <cell r="H188">
            <v>275.39999999999998</v>
          </cell>
          <cell r="I188">
            <v>307.8</v>
          </cell>
          <cell r="J188">
            <v>405</v>
          </cell>
          <cell r="K188">
            <v>793.8</v>
          </cell>
          <cell r="L188">
            <v>372.6</v>
          </cell>
          <cell r="M188">
            <v>518.4</v>
          </cell>
          <cell r="N188">
            <v>842.4</v>
          </cell>
          <cell r="O188">
            <v>680.4</v>
          </cell>
          <cell r="P188">
            <v>453.6</v>
          </cell>
          <cell r="Q188">
            <v>453.6</v>
          </cell>
          <cell r="R188">
            <v>307.8</v>
          </cell>
          <cell r="S188">
            <v>259.2</v>
          </cell>
          <cell r="T188">
            <v>243</v>
          </cell>
          <cell r="U188">
            <v>356.4</v>
          </cell>
          <cell r="V188">
            <v>907.2</v>
          </cell>
          <cell r="W188">
            <v>356.4</v>
          </cell>
          <cell r="X188">
            <v>291.60000000000002</v>
          </cell>
          <cell r="Y188">
            <v>648</v>
          </cell>
          <cell r="Z188">
            <v>502.2</v>
          </cell>
          <cell r="AA188">
            <v>583.20000000000005</v>
          </cell>
          <cell r="AB188">
            <v>534.6</v>
          </cell>
          <cell r="AC188">
            <v>226.8</v>
          </cell>
          <cell r="AD188">
            <v>259.2</v>
          </cell>
          <cell r="AE188">
            <v>81</v>
          </cell>
          <cell r="AF188">
            <v>48.6</v>
          </cell>
          <cell r="AG188">
            <v>210.6</v>
          </cell>
          <cell r="AH188">
            <v>599.4</v>
          </cell>
          <cell r="AI188">
            <v>664.2</v>
          </cell>
          <cell r="AJ188">
            <v>356.4</v>
          </cell>
          <cell r="AK188">
            <v>0</v>
          </cell>
          <cell r="AL188">
            <v>0</v>
          </cell>
          <cell r="AM188">
            <v>1</v>
          </cell>
          <cell r="AN188">
            <v>291.60000000000002</v>
          </cell>
          <cell r="AO188">
            <v>891</v>
          </cell>
          <cell r="AP188">
            <v>897.74999999999989</v>
          </cell>
          <cell r="AQ188">
            <v>950.51812499999994</v>
          </cell>
        </row>
        <row r="189">
          <cell r="A189">
            <v>68953</v>
          </cell>
          <cell r="B189" t="str">
            <v>Краска масляная Расцвет жёлтая 20 кг</v>
          </cell>
          <cell r="C189" t="str">
            <v/>
          </cell>
          <cell r="D189">
            <v>0</v>
          </cell>
          <cell r="E189">
            <v>20</v>
          </cell>
          <cell r="F189">
            <v>80</v>
          </cell>
          <cell r="G189">
            <v>120</v>
          </cell>
          <cell r="H189">
            <v>20</v>
          </cell>
          <cell r="I189">
            <v>0</v>
          </cell>
          <cell r="J189">
            <v>280</v>
          </cell>
          <cell r="K189">
            <v>620</v>
          </cell>
          <cell r="L189">
            <v>360</v>
          </cell>
          <cell r="M189">
            <v>240</v>
          </cell>
          <cell r="N189">
            <v>220</v>
          </cell>
          <cell r="O189">
            <v>80</v>
          </cell>
          <cell r="P189">
            <v>20</v>
          </cell>
          <cell r="Q189">
            <v>0</v>
          </cell>
          <cell r="R189">
            <v>140</v>
          </cell>
          <cell r="S189">
            <v>0</v>
          </cell>
          <cell r="T189">
            <v>220</v>
          </cell>
          <cell r="U189">
            <v>120</v>
          </cell>
          <cell r="V189">
            <v>240</v>
          </cell>
          <cell r="W189">
            <v>220</v>
          </cell>
          <cell r="X189">
            <v>200</v>
          </cell>
          <cell r="Y189">
            <v>200</v>
          </cell>
          <cell r="Z189">
            <v>80</v>
          </cell>
          <cell r="AA189">
            <v>100</v>
          </cell>
          <cell r="AB189">
            <v>200</v>
          </cell>
          <cell r="AC189">
            <v>60</v>
          </cell>
          <cell r="AD189">
            <v>80</v>
          </cell>
          <cell r="AE189">
            <v>0</v>
          </cell>
          <cell r="AF189">
            <v>0</v>
          </cell>
          <cell r="AG189">
            <v>0</v>
          </cell>
          <cell r="AH189">
            <v>20</v>
          </cell>
          <cell r="AI189">
            <v>280</v>
          </cell>
          <cell r="AJ189">
            <v>120</v>
          </cell>
          <cell r="AK189">
            <v>0</v>
          </cell>
          <cell r="AL189">
            <v>0</v>
          </cell>
          <cell r="AM189">
            <v>0.65217391304347827</v>
          </cell>
          <cell r="AN189">
            <v>130.43478260869566</v>
          </cell>
          <cell r="AO189">
            <v>300</v>
          </cell>
          <cell r="AP189">
            <v>181.81818181818181</v>
          </cell>
          <cell r="AQ189">
            <v>98.299120234604089</v>
          </cell>
        </row>
        <row r="190">
          <cell r="A190">
            <v>68954</v>
          </cell>
          <cell r="B190" t="str">
            <v>Краска масляная Расцвет бежевая 2.7 кг</v>
          </cell>
          <cell r="C190" t="str">
            <v/>
          </cell>
          <cell r="D190">
            <v>0</v>
          </cell>
          <cell r="E190">
            <v>2.7</v>
          </cell>
          <cell r="F190">
            <v>81</v>
          </cell>
          <cell r="G190">
            <v>64.8</v>
          </cell>
          <cell r="H190">
            <v>129.6</v>
          </cell>
          <cell r="I190">
            <v>178.2</v>
          </cell>
          <cell r="J190">
            <v>275.39999999999998</v>
          </cell>
          <cell r="K190">
            <v>162</v>
          </cell>
          <cell r="L190">
            <v>210.6</v>
          </cell>
          <cell r="M190">
            <v>226.8</v>
          </cell>
          <cell r="N190">
            <v>178.2</v>
          </cell>
          <cell r="O190">
            <v>340.2</v>
          </cell>
          <cell r="P190">
            <v>194.4</v>
          </cell>
          <cell r="Q190">
            <v>48.6</v>
          </cell>
          <cell r="R190">
            <v>162</v>
          </cell>
          <cell r="S190">
            <v>162</v>
          </cell>
          <cell r="T190">
            <v>64.8</v>
          </cell>
          <cell r="U190">
            <v>178.2</v>
          </cell>
          <cell r="V190">
            <v>210.6</v>
          </cell>
          <cell r="W190">
            <v>178.2</v>
          </cell>
          <cell r="X190">
            <v>81</v>
          </cell>
          <cell r="Y190">
            <v>113.4</v>
          </cell>
          <cell r="Z190">
            <v>178.2</v>
          </cell>
          <cell r="AA190">
            <v>145.80000000000001</v>
          </cell>
          <cell r="AB190">
            <v>307.8</v>
          </cell>
          <cell r="AC190">
            <v>129.6</v>
          </cell>
          <cell r="AD190">
            <v>194.4</v>
          </cell>
          <cell r="AE190">
            <v>113.4</v>
          </cell>
          <cell r="AF190">
            <v>48.6</v>
          </cell>
          <cell r="AG190">
            <v>32.4</v>
          </cell>
          <cell r="AH190">
            <v>81</v>
          </cell>
          <cell r="AI190">
            <v>32.4</v>
          </cell>
          <cell r="AJ190">
            <v>32.4</v>
          </cell>
          <cell r="AK190">
            <v>0</v>
          </cell>
          <cell r="AL190">
            <v>0</v>
          </cell>
          <cell r="AM190">
            <v>0.29166666666666674</v>
          </cell>
          <cell r="AN190">
            <v>23.625000000000007</v>
          </cell>
          <cell r="AO190">
            <v>81</v>
          </cell>
          <cell r="AP190">
            <v>46.924137931034494</v>
          </cell>
          <cell r="AQ190">
            <v>76.676761619190401</v>
          </cell>
        </row>
        <row r="191">
          <cell r="A191">
            <v>68956</v>
          </cell>
          <cell r="B191" t="str">
            <v>Краска масляная Расцвет коричневая 2.7 кг</v>
          </cell>
          <cell r="C191" t="str">
            <v/>
          </cell>
          <cell r="D191">
            <v>0</v>
          </cell>
          <cell r="E191">
            <v>2.7</v>
          </cell>
          <cell r="F191">
            <v>194.4</v>
          </cell>
          <cell r="G191">
            <v>194.4</v>
          </cell>
          <cell r="H191">
            <v>210.6</v>
          </cell>
          <cell r="I191">
            <v>113.4</v>
          </cell>
          <cell r="J191">
            <v>356.4</v>
          </cell>
          <cell r="K191">
            <v>583.20000000000005</v>
          </cell>
          <cell r="L191">
            <v>340.2</v>
          </cell>
          <cell r="M191">
            <v>631.79999999999995</v>
          </cell>
          <cell r="N191">
            <v>599.4</v>
          </cell>
          <cell r="O191">
            <v>550.79999999999995</v>
          </cell>
          <cell r="P191">
            <v>340.2</v>
          </cell>
          <cell r="Q191">
            <v>226.8</v>
          </cell>
          <cell r="R191">
            <v>178.2</v>
          </cell>
          <cell r="S191">
            <v>356.4</v>
          </cell>
          <cell r="T191">
            <v>226.8</v>
          </cell>
          <cell r="U191">
            <v>194.4</v>
          </cell>
          <cell r="V191">
            <v>648</v>
          </cell>
          <cell r="W191">
            <v>243</v>
          </cell>
          <cell r="X191">
            <v>356.4</v>
          </cell>
          <cell r="Y191">
            <v>631.79999999999995</v>
          </cell>
          <cell r="Z191">
            <v>486</v>
          </cell>
          <cell r="AA191">
            <v>421.2</v>
          </cell>
          <cell r="AB191">
            <v>226.8</v>
          </cell>
          <cell r="AC191">
            <v>113.4</v>
          </cell>
          <cell r="AD191">
            <v>97.2</v>
          </cell>
          <cell r="AE191">
            <v>145.80000000000001</v>
          </cell>
          <cell r="AF191">
            <v>16.2</v>
          </cell>
          <cell r="AG191">
            <v>64.8</v>
          </cell>
          <cell r="AH191">
            <v>356.4</v>
          </cell>
          <cell r="AI191">
            <v>696.6</v>
          </cell>
          <cell r="AJ191">
            <v>210.6</v>
          </cell>
          <cell r="AK191">
            <v>0</v>
          </cell>
          <cell r="AL191">
            <v>0</v>
          </cell>
          <cell r="AM191">
            <v>1.1818181818181819</v>
          </cell>
          <cell r="AN191">
            <v>421.2</v>
          </cell>
          <cell r="AO191">
            <v>526.5</v>
          </cell>
          <cell r="AP191">
            <v>800.00649350649337</v>
          </cell>
          <cell r="AQ191">
            <v>798.59466848940531</v>
          </cell>
        </row>
        <row r="192">
          <cell r="A192">
            <v>68959</v>
          </cell>
          <cell r="B192" t="str">
            <v>Краска масляная Расцвет бежевая 20 кг</v>
          </cell>
          <cell r="C192" t="str">
            <v/>
          </cell>
          <cell r="D192">
            <v>0</v>
          </cell>
          <cell r="E192">
            <v>20</v>
          </cell>
          <cell r="F192">
            <v>520</v>
          </cell>
          <cell r="G192">
            <v>660</v>
          </cell>
          <cell r="H192">
            <v>240</v>
          </cell>
          <cell r="I192">
            <v>1120</v>
          </cell>
          <cell r="J192">
            <v>720</v>
          </cell>
          <cell r="K192">
            <v>600</v>
          </cell>
          <cell r="L192">
            <v>660</v>
          </cell>
          <cell r="M192">
            <v>100</v>
          </cell>
          <cell r="N192">
            <v>340</v>
          </cell>
          <cell r="O192">
            <v>940</v>
          </cell>
          <cell r="P192">
            <v>240</v>
          </cell>
          <cell r="Q192">
            <v>300</v>
          </cell>
          <cell r="R192">
            <v>220</v>
          </cell>
          <cell r="S192">
            <v>460</v>
          </cell>
          <cell r="T192">
            <v>460</v>
          </cell>
          <cell r="U192">
            <v>160</v>
          </cell>
          <cell r="V192">
            <v>360</v>
          </cell>
          <cell r="W192">
            <v>160</v>
          </cell>
          <cell r="X192">
            <v>180</v>
          </cell>
          <cell r="Y192">
            <v>520</v>
          </cell>
          <cell r="Z192">
            <v>500</v>
          </cell>
          <cell r="AA192">
            <v>360</v>
          </cell>
          <cell r="AB192">
            <v>300</v>
          </cell>
          <cell r="AC192">
            <v>620</v>
          </cell>
          <cell r="AD192">
            <v>240</v>
          </cell>
          <cell r="AE192">
            <v>60</v>
          </cell>
          <cell r="AF192">
            <v>0</v>
          </cell>
          <cell r="AG192">
            <v>20</v>
          </cell>
          <cell r="AH192">
            <v>320</v>
          </cell>
          <cell r="AI192">
            <v>240</v>
          </cell>
          <cell r="AJ192">
            <v>40</v>
          </cell>
          <cell r="AK192">
            <v>0</v>
          </cell>
          <cell r="AL192">
            <v>0</v>
          </cell>
          <cell r="AM192">
            <v>1.0769230769230769</v>
          </cell>
          <cell r="AN192">
            <v>193.84615384615384</v>
          </cell>
          <cell r="AO192">
            <v>100</v>
          </cell>
          <cell r="AP192">
            <v>490.28571428571428</v>
          </cell>
          <cell r="AQ192">
            <v>482.7242524916943</v>
          </cell>
        </row>
        <row r="193">
          <cell r="A193">
            <v>68962</v>
          </cell>
          <cell r="B193" t="str">
            <v>Краска масляная Расцвет серая 20 кг</v>
          </cell>
          <cell r="C193" t="str">
            <v/>
          </cell>
          <cell r="D193">
            <v>0</v>
          </cell>
          <cell r="E193">
            <v>20</v>
          </cell>
          <cell r="F193">
            <v>760</v>
          </cell>
          <cell r="G193">
            <v>460</v>
          </cell>
          <cell r="H193">
            <v>1580</v>
          </cell>
          <cell r="I193">
            <v>2360</v>
          </cell>
          <cell r="J193">
            <v>3180</v>
          </cell>
          <cell r="K193">
            <v>2160</v>
          </cell>
          <cell r="L193">
            <v>1480</v>
          </cell>
          <cell r="M193">
            <v>1020</v>
          </cell>
          <cell r="N193">
            <v>900</v>
          </cell>
          <cell r="O193">
            <v>1400</v>
          </cell>
          <cell r="P193">
            <v>1380</v>
          </cell>
          <cell r="Q193">
            <v>1140</v>
          </cell>
          <cell r="R193">
            <v>460</v>
          </cell>
          <cell r="S193">
            <v>1680</v>
          </cell>
          <cell r="T193">
            <v>280</v>
          </cell>
          <cell r="U193">
            <v>1200</v>
          </cell>
          <cell r="V193">
            <v>2240</v>
          </cell>
          <cell r="W193">
            <v>1400</v>
          </cell>
          <cell r="X193">
            <v>1360</v>
          </cell>
          <cell r="Y193">
            <v>2320</v>
          </cell>
          <cell r="Z193">
            <v>1120</v>
          </cell>
          <cell r="AA193">
            <v>620</v>
          </cell>
          <cell r="AB193">
            <v>560</v>
          </cell>
          <cell r="AC193">
            <v>1180</v>
          </cell>
          <cell r="AD193">
            <v>240</v>
          </cell>
          <cell r="AE193">
            <v>760</v>
          </cell>
          <cell r="AF193">
            <v>60</v>
          </cell>
          <cell r="AG193">
            <v>360</v>
          </cell>
          <cell r="AH193">
            <v>840</v>
          </cell>
          <cell r="AI193">
            <v>1980</v>
          </cell>
          <cell r="AJ193">
            <v>360</v>
          </cell>
          <cell r="AK193">
            <v>0</v>
          </cell>
          <cell r="AL193">
            <v>0</v>
          </cell>
          <cell r="AM193">
            <v>0.77472527472527475</v>
          </cell>
          <cell r="AN193">
            <v>1053.6263736263736</v>
          </cell>
          <cell r="AO193">
            <v>900</v>
          </cell>
          <cell r="AP193">
            <v>1726.08</v>
          </cell>
          <cell r="AQ193">
            <v>1015.5137007874016</v>
          </cell>
        </row>
        <row r="194">
          <cell r="A194">
            <v>69068</v>
          </cell>
          <cell r="B194" t="str">
            <v>Краска масляная Расцвет сурик 2.7 кг</v>
          </cell>
          <cell r="C194" t="str">
            <v/>
          </cell>
          <cell r="D194">
            <v>0</v>
          </cell>
          <cell r="E194">
            <v>2.7</v>
          </cell>
          <cell r="F194">
            <v>145.80000000000001</v>
          </cell>
          <cell r="G194">
            <v>32.4</v>
          </cell>
          <cell r="H194">
            <v>129.6</v>
          </cell>
          <cell r="I194">
            <v>243</v>
          </cell>
          <cell r="J194">
            <v>388.8</v>
          </cell>
          <cell r="K194">
            <v>372.6</v>
          </cell>
          <cell r="L194">
            <v>259.2</v>
          </cell>
          <cell r="M194">
            <v>275.39999999999998</v>
          </cell>
          <cell r="N194">
            <v>259.2</v>
          </cell>
          <cell r="O194">
            <v>275.39999999999998</v>
          </cell>
          <cell r="P194">
            <v>324</v>
          </cell>
          <cell r="Q194">
            <v>226.8</v>
          </cell>
          <cell r="R194">
            <v>162</v>
          </cell>
          <cell r="S194">
            <v>243</v>
          </cell>
          <cell r="T194">
            <v>113.4</v>
          </cell>
          <cell r="U194">
            <v>226.8</v>
          </cell>
          <cell r="V194">
            <v>178.2</v>
          </cell>
          <cell r="W194">
            <v>275.39999999999998</v>
          </cell>
          <cell r="X194">
            <v>226.8</v>
          </cell>
          <cell r="Y194">
            <v>259.2</v>
          </cell>
          <cell r="Z194">
            <v>356.4</v>
          </cell>
          <cell r="AA194">
            <v>421.2</v>
          </cell>
          <cell r="AB194">
            <v>356.4</v>
          </cell>
          <cell r="AC194">
            <v>210.6</v>
          </cell>
          <cell r="AD194">
            <v>145.80000000000001</v>
          </cell>
          <cell r="AE194">
            <v>64.8</v>
          </cell>
          <cell r="AF194">
            <v>0</v>
          </cell>
          <cell r="AG194">
            <v>145.80000000000001</v>
          </cell>
          <cell r="AH194">
            <v>194.4</v>
          </cell>
          <cell r="AI194">
            <v>567</v>
          </cell>
          <cell r="AJ194">
            <v>145.80000000000001</v>
          </cell>
          <cell r="AK194">
            <v>0</v>
          </cell>
          <cell r="AL194">
            <v>0</v>
          </cell>
          <cell r="AM194">
            <v>1.6785714285714286</v>
          </cell>
          <cell r="AN194">
            <v>380.70000000000005</v>
          </cell>
          <cell r="AO194">
            <v>364.5</v>
          </cell>
          <cell r="AP194">
            <v>428.91428571428571</v>
          </cell>
          <cell r="AQ194">
            <v>636.78966565349538</v>
          </cell>
        </row>
        <row r="195">
          <cell r="A195">
            <v>69069</v>
          </cell>
          <cell r="B195" t="str">
            <v>Краска масляная Расцвет сурик 20 кг</v>
          </cell>
          <cell r="C195" t="str">
            <v/>
          </cell>
          <cell r="D195">
            <v>0</v>
          </cell>
          <cell r="E195">
            <v>20</v>
          </cell>
          <cell r="F195">
            <v>660</v>
          </cell>
          <cell r="G195">
            <v>980</v>
          </cell>
          <cell r="H195">
            <v>880</v>
          </cell>
          <cell r="I195">
            <v>440</v>
          </cell>
          <cell r="J195">
            <v>1160</v>
          </cell>
          <cell r="K195">
            <v>1100</v>
          </cell>
          <cell r="L195">
            <v>760</v>
          </cell>
          <cell r="M195">
            <v>620</v>
          </cell>
          <cell r="N195">
            <v>620</v>
          </cell>
          <cell r="O195">
            <v>760</v>
          </cell>
          <cell r="P195">
            <v>1560</v>
          </cell>
          <cell r="Q195">
            <v>1160</v>
          </cell>
          <cell r="R195">
            <v>780</v>
          </cell>
          <cell r="S195">
            <v>480</v>
          </cell>
          <cell r="T195">
            <v>260</v>
          </cell>
          <cell r="U195">
            <v>400</v>
          </cell>
          <cell r="V195">
            <v>1760</v>
          </cell>
          <cell r="W195">
            <v>1340</v>
          </cell>
          <cell r="X195">
            <v>320</v>
          </cell>
          <cell r="Y195">
            <v>1240</v>
          </cell>
          <cell r="Z195">
            <v>660</v>
          </cell>
          <cell r="AA195">
            <v>200</v>
          </cell>
          <cell r="AB195">
            <v>240</v>
          </cell>
          <cell r="AC195">
            <v>840</v>
          </cell>
          <cell r="AD195">
            <v>120</v>
          </cell>
          <cell r="AE195">
            <v>140</v>
          </cell>
          <cell r="AF195">
            <v>120</v>
          </cell>
          <cell r="AG195">
            <v>240</v>
          </cell>
          <cell r="AH195">
            <v>260</v>
          </cell>
          <cell r="AI195">
            <v>800</v>
          </cell>
          <cell r="AJ195">
            <v>320</v>
          </cell>
          <cell r="AK195">
            <v>0</v>
          </cell>
          <cell r="AL195">
            <v>0</v>
          </cell>
          <cell r="AM195">
            <v>0.34193548387096773</v>
          </cell>
          <cell r="AN195">
            <v>109.41935483870967</v>
          </cell>
          <cell r="AO195">
            <v>800</v>
          </cell>
          <cell r="AP195">
            <v>674.38596491228077</v>
          </cell>
          <cell r="AQ195">
            <v>517.61887477313974</v>
          </cell>
        </row>
        <row r="196">
          <cell r="A196">
            <v>71304</v>
          </cell>
          <cell r="B196" t="str">
            <v>Грунтовка ГФ-021 Расцвет красно-коричневая 12 кг</v>
          </cell>
          <cell r="C196" t="str">
            <v/>
          </cell>
          <cell r="D196">
            <v>0</v>
          </cell>
          <cell r="E196">
            <v>12</v>
          </cell>
          <cell r="F196">
            <v>1140</v>
          </cell>
          <cell r="G196">
            <v>1356</v>
          </cell>
          <cell r="H196">
            <v>2268</v>
          </cell>
          <cell r="I196">
            <v>2796</v>
          </cell>
          <cell r="J196">
            <v>3732</v>
          </cell>
          <cell r="K196">
            <v>4080</v>
          </cell>
          <cell r="L196">
            <v>3768</v>
          </cell>
          <cell r="M196">
            <v>4140</v>
          </cell>
          <cell r="N196">
            <v>3252</v>
          </cell>
          <cell r="O196">
            <v>3372</v>
          </cell>
          <cell r="P196">
            <v>3624</v>
          </cell>
          <cell r="Q196">
            <v>2592</v>
          </cell>
          <cell r="R196">
            <v>684</v>
          </cell>
          <cell r="S196">
            <v>1104</v>
          </cell>
          <cell r="T196">
            <v>1344</v>
          </cell>
          <cell r="U196">
            <v>684</v>
          </cell>
          <cell r="V196">
            <v>1884</v>
          </cell>
          <cell r="W196">
            <v>1968</v>
          </cell>
          <cell r="X196">
            <v>1752</v>
          </cell>
          <cell r="Y196">
            <v>1176</v>
          </cell>
          <cell r="Z196">
            <v>1488</v>
          </cell>
          <cell r="AA196">
            <v>1896</v>
          </cell>
          <cell r="AB196">
            <v>1428</v>
          </cell>
          <cell r="AC196">
            <v>864</v>
          </cell>
          <cell r="AD196">
            <v>504</v>
          </cell>
          <cell r="AE196">
            <v>324</v>
          </cell>
          <cell r="AF196">
            <v>84</v>
          </cell>
          <cell r="AG196">
            <v>252</v>
          </cell>
          <cell r="AH196">
            <v>684</v>
          </cell>
          <cell r="AI196">
            <v>852</v>
          </cell>
          <cell r="AJ196">
            <v>516</v>
          </cell>
          <cell r="AK196">
            <v>72</v>
          </cell>
          <cell r="AL196">
            <v>0</v>
          </cell>
          <cell r="AM196">
            <v>0.39875389408099687</v>
          </cell>
          <cell r="AN196">
            <v>698.61682242990651</v>
          </cell>
          <cell r="AO196">
            <v>1470</v>
          </cell>
          <cell r="AP196">
            <v>630.80942184154185</v>
          </cell>
          <cell r="AQ196">
            <v>897.42247134399793</v>
          </cell>
        </row>
        <row r="197">
          <cell r="A197">
            <v>71305</v>
          </cell>
          <cell r="B197" t="str">
            <v>Грунтовка ГФ-021 Расцвет серая 12 кг</v>
          </cell>
          <cell r="C197" t="str">
            <v/>
          </cell>
          <cell r="D197">
            <v>0</v>
          </cell>
          <cell r="E197">
            <v>12</v>
          </cell>
          <cell r="F197">
            <v>5520</v>
          </cell>
          <cell r="G197">
            <v>6372</v>
          </cell>
          <cell r="H197">
            <v>4740</v>
          </cell>
          <cell r="I197">
            <v>8712</v>
          </cell>
          <cell r="J197">
            <v>10188</v>
          </cell>
          <cell r="K197">
            <v>11928</v>
          </cell>
          <cell r="L197">
            <v>11508</v>
          </cell>
          <cell r="M197">
            <v>12372</v>
          </cell>
          <cell r="N197">
            <v>12084</v>
          </cell>
          <cell r="O197">
            <v>11064</v>
          </cell>
          <cell r="P197">
            <v>13860</v>
          </cell>
          <cell r="Q197">
            <v>7896</v>
          </cell>
          <cell r="R197">
            <v>3144</v>
          </cell>
          <cell r="S197">
            <v>4896</v>
          </cell>
          <cell r="T197">
            <v>4176</v>
          </cell>
          <cell r="U197">
            <v>4332</v>
          </cell>
          <cell r="V197">
            <v>7668</v>
          </cell>
          <cell r="W197">
            <v>6468</v>
          </cell>
          <cell r="X197">
            <v>5340</v>
          </cell>
          <cell r="Y197">
            <v>6804</v>
          </cell>
          <cell r="Z197">
            <v>7128</v>
          </cell>
          <cell r="AA197">
            <v>4356</v>
          </cell>
          <cell r="AB197">
            <v>4404</v>
          </cell>
          <cell r="AC197">
            <v>2664</v>
          </cell>
          <cell r="AD197">
            <v>1872</v>
          </cell>
          <cell r="AE197">
            <v>816</v>
          </cell>
          <cell r="AF197">
            <v>924</v>
          </cell>
          <cell r="AG197">
            <v>1956</v>
          </cell>
          <cell r="AH197">
            <v>2928</v>
          </cell>
          <cell r="AI197">
            <v>5076</v>
          </cell>
          <cell r="AJ197">
            <v>1368</v>
          </cell>
          <cell r="AK197">
            <v>72</v>
          </cell>
          <cell r="AL197">
            <v>0</v>
          </cell>
          <cell r="AM197">
            <v>0.56621392190152797</v>
          </cell>
          <cell r="AN197">
            <v>3023.5823429541592</v>
          </cell>
          <cell r="AO197">
            <v>3600</v>
          </cell>
          <cell r="AP197">
            <v>4053.8927911275418</v>
          </cell>
          <cell r="AQ197">
            <v>4875.2780902190589</v>
          </cell>
        </row>
        <row r="198">
          <cell r="A198">
            <v>78755</v>
          </cell>
          <cell r="B198" t="str">
            <v>Эмаль ПФ-115 КМ белая 0.9 кг</v>
          </cell>
          <cell r="C198" t="str">
            <v/>
          </cell>
          <cell r="D198">
            <v>0</v>
          </cell>
          <cell r="E198">
            <v>0.9</v>
          </cell>
          <cell r="F198">
            <v>126</v>
          </cell>
          <cell r="G198">
            <v>201.6</v>
          </cell>
          <cell r="H198">
            <v>126</v>
          </cell>
          <cell r="I198">
            <v>302.39999999999998</v>
          </cell>
          <cell r="J198">
            <v>189</v>
          </cell>
          <cell r="K198">
            <v>567</v>
          </cell>
          <cell r="L198">
            <v>453.6</v>
          </cell>
          <cell r="M198">
            <v>554.4</v>
          </cell>
          <cell r="N198">
            <v>491.4</v>
          </cell>
          <cell r="O198">
            <v>504</v>
          </cell>
          <cell r="P198">
            <v>466.2</v>
          </cell>
          <cell r="Q198">
            <v>252</v>
          </cell>
          <cell r="R198">
            <v>214.2</v>
          </cell>
          <cell r="S198">
            <v>289.8</v>
          </cell>
          <cell r="T198">
            <v>239.4</v>
          </cell>
          <cell r="U198">
            <v>289.8</v>
          </cell>
          <cell r="V198">
            <v>466.2</v>
          </cell>
          <cell r="W198">
            <v>428.4</v>
          </cell>
          <cell r="X198">
            <v>491.4</v>
          </cell>
          <cell r="Y198">
            <v>491.4</v>
          </cell>
          <cell r="Z198">
            <v>441</v>
          </cell>
          <cell r="AA198">
            <v>453.6</v>
          </cell>
          <cell r="AB198">
            <v>340.2</v>
          </cell>
          <cell r="AC198">
            <v>189</v>
          </cell>
          <cell r="AD198">
            <v>138.6</v>
          </cell>
          <cell r="AE198">
            <v>201.6</v>
          </cell>
          <cell r="AF198">
            <v>50.4</v>
          </cell>
          <cell r="AG198">
            <v>302.39999999999998</v>
          </cell>
          <cell r="AH198">
            <v>315</v>
          </cell>
          <cell r="AI198">
            <v>516.6</v>
          </cell>
          <cell r="AJ198">
            <v>163.80000000000001</v>
          </cell>
          <cell r="AK198">
            <v>0</v>
          </cell>
          <cell r="AL198">
            <v>0</v>
          </cell>
          <cell r="AM198">
            <v>0.92957746478873249</v>
          </cell>
          <cell r="AN198">
            <v>456.79436619718314</v>
          </cell>
          <cell r="AO198">
            <v>409.5</v>
          </cell>
          <cell r="AP198">
            <v>440.02636363636361</v>
          </cell>
          <cell r="AQ198">
            <v>426.91448863636373</v>
          </cell>
        </row>
        <row r="199">
          <cell r="A199">
            <v>78756</v>
          </cell>
          <cell r="B199" t="str">
            <v>Эмаль ПФ-115 КМ белая 1.9 кг</v>
          </cell>
          <cell r="C199" t="str">
            <v/>
          </cell>
          <cell r="D199">
            <v>0</v>
          </cell>
          <cell r="E199">
            <v>1.9</v>
          </cell>
          <cell r="F199">
            <v>433.2</v>
          </cell>
          <cell r="G199">
            <v>410.4</v>
          </cell>
          <cell r="H199">
            <v>433.2</v>
          </cell>
          <cell r="I199">
            <v>1812.6</v>
          </cell>
          <cell r="J199">
            <v>2428.1999999999998</v>
          </cell>
          <cell r="K199">
            <v>2793</v>
          </cell>
          <cell r="L199">
            <v>1744.2</v>
          </cell>
          <cell r="M199">
            <v>1447.8</v>
          </cell>
          <cell r="N199">
            <v>1607.4</v>
          </cell>
          <cell r="O199">
            <v>1242.5999999999999</v>
          </cell>
          <cell r="P199">
            <v>1219.8</v>
          </cell>
          <cell r="Q199">
            <v>912</v>
          </cell>
          <cell r="R199">
            <v>342</v>
          </cell>
          <cell r="S199">
            <v>307.8</v>
          </cell>
          <cell r="T199">
            <v>467.4</v>
          </cell>
          <cell r="U199">
            <v>2679</v>
          </cell>
          <cell r="V199">
            <v>1778.4</v>
          </cell>
          <cell r="W199">
            <v>2793</v>
          </cell>
          <cell r="X199">
            <v>1333.8</v>
          </cell>
          <cell r="Y199">
            <v>798</v>
          </cell>
          <cell r="Z199">
            <v>820.8</v>
          </cell>
          <cell r="AA199">
            <v>843.6</v>
          </cell>
          <cell r="AB199">
            <v>490.2</v>
          </cell>
          <cell r="AC199">
            <v>399</v>
          </cell>
          <cell r="AD199">
            <v>285</v>
          </cell>
          <cell r="AE199">
            <v>501.6</v>
          </cell>
          <cell r="AF199">
            <v>296.39999999999998</v>
          </cell>
          <cell r="AG199">
            <v>2131.8000000000002</v>
          </cell>
          <cell r="AH199">
            <v>1436.4</v>
          </cell>
          <cell r="AI199">
            <v>2154.6</v>
          </cell>
          <cell r="AJ199">
            <v>661.2</v>
          </cell>
          <cell r="AK199">
            <v>0</v>
          </cell>
          <cell r="AL199">
            <v>0</v>
          </cell>
          <cell r="AM199">
            <v>0.78553615960099754</v>
          </cell>
          <cell r="AN199">
            <v>1047.7481296758106</v>
          </cell>
          <cell r="AO199">
            <v>1653</v>
          </cell>
          <cell r="AP199">
            <v>708.64864864864853</v>
          </cell>
          <cell r="AQ199">
            <v>752.70810810810804</v>
          </cell>
        </row>
        <row r="200">
          <cell r="A200">
            <v>78757</v>
          </cell>
          <cell r="B200" t="str">
            <v>Эмаль ПФ-115 КМ белая 10 кг</v>
          </cell>
          <cell r="C200" t="str">
            <v/>
          </cell>
          <cell r="D200">
            <v>0</v>
          </cell>
          <cell r="E200">
            <v>10</v>
          </cell>
          <cell r="F200">
            <v>1340</v>
          </cell>
          <cell r="G200">
            <v>1040</v>
          </cell>
          <cell r="H200">
            <v>1300</v>
          </cell>
          <cell r="I200">
            <v>2220</v>
          </cell>
          <cell r="J200">
            <v>2760</v>
          </cell>
          <cell r="K200">
            <v>2990</v>
          </cell>
          <cell r="L200">
            <v>2520</v>
          </cell>
          <cell r="M200">
            <v>3070</v>
          </cell>
          <cell r="N200">
            <v>2860</v>
          </cell>
          <cell r="O200">
            <v>2750</v>
          </cell>
          <cell r="P200">
            <v>3060</v>
          </cell>
          <cell r="Q200">
            <v>1660</v>
          </cell>
          <cell r="R200">
            <v>810</v>
          </cell>
          <cell r="S200">
            <v>1130</v>
          </cell>
          <cell r="T200">
            <v>710</v>
          </cell>
          <cell r="U200">
            <v>1520</v>
          </cell>
          <cell r="V200">
            <v>2770</v>
          </cell>
          <cell r="W200">
            <v>2750</v>
          </cell>
          <cell r="X200">
            <v>2520</v>
          </cell>
          <cell r="Y200">
            <v>3280</v>
          </cell>
          <cell r="Z200">
            <v>3280</v>
          </cell>
          <cell r="AA200">
            <v>2650</v>
          </cell>
          <cell r="AB200">
            <v>3360</v>
          </cell>
          <cell r="AC200">
            <v>1240</v>
          </cell>
          <cell r="AD200">
            <v>970</v>
          </cell>
          <cell r="AE200">
            <v>780</v>
          </cell>
          <cell r="AF200">
            <v>570</v>
          </cell>
          <cell r="AG200">
            <v>840</v>
          </cell>
          <cell r="AH200">
            <v>2830</v>
          </cell>
          <cell r="AI200">
            <v>4990</v>
          </cell>
          <cell r="AJ200">
            <v>980</v>
          </cell>
          <cell r="AK200">
            <v>0</v>
          </cell>
          <cell r="AL200">
            <v>0</v>
          </cell>
          <cell r="AM200">
            <v>1.4166666666666667</v>
          </cell>
          <cell r="AN200">
            <v>3570</v>
          </cell>
          <cell r="AO200">
            <v>2450</v>
          </cell>
          <cell r="AP200">
            <v>4189.7512437810947</v>
          </cell>
          <cell r="AQ200">
            <v>4461.4718221756712</v>
          </cell>
        </row>
        <row r="201">
          <cell r="A201">
            <v>78758</v>
          </cell>
          <cell r="B201" t="str">
            <v>Эмаль ПФ-115 КМ белая 20 кг</v>
          </cell>
          <cell r="C201" t="str">
            <v/>
          </cell>
          <cell r="D201">
            <v>0</v>
          </cell>
          <cell r="E201">
            <v>20</v>
          </cell>
          <cell r="F201">
            <v>2320</v>
          </cell>
          <cell r="G201">
            <v>1220</v>
          </cell>
          <cell r="H201">
            <v>2280</v>
          </cell>
          <cell r="I201">
            <v>2420</v>
          </cell>
          <cell r="J201">
            <v>2520</v>
          </cell>
          <cell r="K201">
            <v>2380</v>
          </cell>
          <cell r="L201">
            <v>3340</v>
          </cell>
          <cell r="M201">
            <v>3400</v>
          </cell>
          <cell r="N201">
            <v>2900</v>
          </cell>
          <cell r="O201">
            <v>3360</v>
          </cell>
          <cell r="P201">
            <v>2680</v>
          </cell>
          <cell r="Q201">
            <v>2260</v>
          </cell>
          <cell r="R201">
            <v>1880</v>
          </cell>
          <cell r="S201">
            <v>1500</v>
          </cell>
          <cell r="T201">
            <v>1360</v>
          </cell>
          <cell r="U201">
            <v>1980</v>
          </cell>
          <cell r="V201">
            <v>6680</v>
          </cell>
          <cell r="W201">
            <v>2920</v>
          </cell>
          <cell r="X201">
            <v>1800</v>
          </cell>
          <cell r="Y201">
            <v>2460</v>
          </cell>
          <cell r="Z201">
            <v>3980</v>
          </cell>
          <cell r="AA201">
            <v>2080</v>
          </cell>
          <cell r="AB201">
            <v>3760</v>
          </cell>
          <cell r="AC201">
            <v>1820</v>
          </cell>
          <cell r="AD201">
            <v>1240</v>
          </cell>
          <cell r="AE201">
            <v>520</v>
          </cell>
          <cell r="AF201">
            <v>220</v>
          </cell>
          <cell r="AG201">
            <v>540</v>
          </cell>
          <cell r="AH201">
            <v>2480</v>
          </cell>
          <cell r="AI201">
            <v>4300</v>
          </cell>
          <cell r="AJ201">
            <v>960</v>
          </cell>
          <cell r="AK201">
            <v>0</v>
          </cell>
          <cell r="AL201">
            <v>0</v>
          </cell>
          <cell r="AM201">
            <v>0.70625000000000004</v>
          </cell>
          <cell r="AN201">
            <v>1271.25</v>
          </cell>
          <cell r="AO201">
            <v>2400</v>
          </cell>
          <cell r="AP201">
            <v>1980.9473684210525</v>
          </cell>
          <cell r="AQ201">
            <v>4812.0014660606957</v>
          </cell>
        </row>
        <row r="202">
          <cell r="A202">
            <v>78760</v>
          </cell>
          <cell r="B202" t="str">
            <v>Эмаль ПФ-115 КМ серая 0.9 кг</v>
          </cell>
          <cell r="C202" t="str">
            <v/>
          </cell>
          <cell r="D202">
            <v>0</v>
          </cell>
          <cell r="E202">
            <v>0.9</v>
          </cell>
          <cell r="F202">
            <v>100.8</v>
          </cell>
          <cell r="G202">
            <v>100.8</v>
          </cell>
          <cell r="H202">
            <v>163.80000000000001</v>
          </cell>
          <cell r="I202">
            <v>126</v>
          </cell>
          <cell r="J202">
            <v>239.4</v>
          </cell>
          <cell r="K202">
            <v>327.60000000000002</v>
          </cell>
          <cell r="L202">
            <v>289.8</v>
          </cell>
          <cell r="M202">
            <v>340.2</v>
          </cell>
          <cell r="N202">
            <v>226.8</v>
          </cell>
          <cell r="O202">
            <v>327.60000000000002</v>
          </cell>
          <cell r="P202">
            <v>226.8</v>
          </cell>
          <cell r="Q202">
            <v>163.80000000000001</v>
          </cell>
          <cell r="R202">
            <v>176.4</v>
          </cell>
          <cell r="S202">
            <v>138.6</v>
          </cell>
          <cell r="T202">
            <v>88.2</v>
          </cell>
          <cell r="U202">
            <v>163.80000000000001</v>
          </cell>
          <cell r="V202">
            <v>327.60000000000002</v>
          </cell>
          <cell r="W202">
            <v>252</v>
          </cell>
          <cell r="X202">
            <v>315</v>
          </cell>
          <cell r="Y202">
            <v>226.8</v>
          </cell>
          <cell r="Z202">
            <v>378</v>
          </cell>
          <cell r="AA202">
            <v>302.39999999999998</v>
          </cell>
          <cell r="AB202">
            <v>176.4</v>
          </cell>
          <cell r="AC202">
            <v>151.19999999999999</v>
          </cell>
          <cell r="AD202">
            <v>75.599999999999994</v>
          </cell>
          <cell r="AE202">
            <v>201.6</v>
          </cell>
          <cell r="AF202">
            <v>75.599999999999994</v>
          </cell>
          <cell r="AG202">
            <v>138.6</v>
          </cell>
          <cell r="AH202">
            <v>378</v>
          </cell>
          <cell r="AI202">
            <v>327.60000000000002</v>
          </cell>
          <cell r="AJ202">
            <v>75.599999999999994</v>
          </cell>
          <cell r="AK202">
            <v>0</v>
          </cell>
          <cell r="AL202">
            <v>0</v>
          </cell>
          <cell r="AM202">
            <v>1.2173913043478262</v>
          </cell>
          <cell r="AN202">
            <v>383.47826086956525</v>
          </cell>
          <cell r="AO202">
            <v>189</v>
          </cell>
          <cell r="AP202">
            <v>226.8</v>
          </cell>
          <cell r="AQ202">
            <v>354.00000000000006</v>
          </cell>
        </row>
        <row r="203">
          <cell r="A203">
            <v>78761</v>
          </cell>
          <cell r="B203" t="str">
            <v>Эмаль ПФ-115 КМ серая 1.9 кг</v>
          </cell>
          <cell r="C203" t="str">
            <v/>
          </cell>
          <cell r="D203">
            <v>0</v>
          </cell>
          <cell r="E203">
            <v>1.9</v>
          </cell>
          <cell r="F203">
            <v>798</v>
          </cell>
          <cell r="G203">
            <v>638.4</v>
          </cell>
          <cell r="H203">
            <v>581.4</v>
          </cell>
          <cell r="I203">
            <v>1641.6</v>
          </cell>
          <cell r="J203">
            <v>3636.6</v>
          </cell>
          <cell r="K203">
            <v>3066.6</v>
          </cell>
          <cell r="L203">
            <v>1299.5999999999999</v>
          </cell>
          <cell r="M203">
            <v>1618.8</v>
          </cell>
          <cell r="N203">
            <v>1368</v>
          </cell>
          <cell r="O203">
            <v>1254</v>
          </cell>
          <cell r="P203">
            <v>1140</v>
          </cell>
          <cell r="Q203">
            <v>1288.2</v>
          </cell>
          <cell r="R203">
            <v>307.8</v>
          </cell>
          <cell r="S203">
            <v>353.4</v>
          </cell>
          <cell r="T203">
            <v>273.60000000000002</v>
          </cell>
          <cell r="U203">
            <v>3009.6</v>
          </cell>
          <cell r="V203">
            <v>2040.6</v>
          </cell>
          <cell r="W203">
            <v>2382.6</v>
          </cell>
          <cell r="X203">
            <v>991.8</v>
          </cell>
          <cell r="Y203">
            <v>855</v>
          </cell>
          <cell r="Z203">
            <v>763.8</v>
          </cell>
          <cell r="AA203">
            <v>934.8</v>
          </cell>
          <cell r="AB203">
            <v>775.2</v>
          </cell>
          <cell r="AC203">
            <v>364.8</v>
          </cell>
          <cell r="AD203">
            <v>307.8</v>
          </cell>
          <cell r="AE203">
            <v>649.79999999999995</v>
          </cell>
          <cell r="AF203">
            <v>273.60000000000002</v>
          </cell>
          <cell r="AG203">
            <v>2120.4</v>
          </cell>
          <cell r="AH203">
            <v>1653</v>
          </cell>
          <cell r="AI203">
            <v>1938</v>
          </cell>
          <cell r="AJ203">
            <v>433.2</v>
          </cell>
          <cell r="AK203">
            <v>0</v>
          </cell>
          <cell r="AL203">
            <v>0</v>
          </cell>
          <cell r="AM203">
            <v>0.81185567010309279</v>
          </cell>
          <cell r="AN203">
            <v>805.19845360824741</v>
          </cell>
          <cell r="AO203">
            <v>1083</v>
          </cell>
          <cell r="AP203">
            <v>738</v>
          </cell>
          <cell r="AQ203">
            <v>678.84905660377353</v>
          </cell>
        </row>
        <row r="204">
          <cell r="A204">
            <v>78762</v>
          </cell>
          <cell r="B204" t="str">
            <v>Эмаль ПФ-115 КМ серая 10 кг</v>
          </cell>
          <cell r="C204" t="str">
            <v/>
          </cell>
          <cell r="D204">
            <v>0</v>
          </cell>
          <cell r="E204">
            <v>10</v>
          </cell>
          <cell r="F204">
            <v>1850</v>
          </cell>
          <cell r="G204">
            <v>1940</v>
          </cell>
          <cell r="H204">
            <v>2440</v>
          </cell>
          <cell r="I204">
            <v>3080</v>
          </cell>
          <cell r="J204">
            <v>3520</v>
          </cell>
          <cell r="K204">
            <v>4450</v>
          </cell>
          <cell r="L204">
            <v>3090</v>
          </cell>
          <cell r="M204">
            <v>3920</v>
          </cell>
          <cell r="N204">
            <v>2700</v>
          </cell>
          <cell r="O204">
            <v>4020</v>
          </cell>
          <cell r="P204">
            <v>4520</v>
          </cell>
          <cell r="Q204">
            <v>2970</v>
          </cell>
          <cell r="R204">
            <v>1860</v>
          </cell>
          <cell r="S204">
            <v>2260</v>
          </cell>
          <cell r="T204">
            <v>1290</v>
          </cell>
          <cell r="U204">
            <v>3180</v>
          </cell>
          <cell r="V204">
            <v>4240</v>
          </cell>
          <cell r="W204">
            <v>3270</v>
          </cell>
          <cell r="X204">
            <v>3360</v>
          </cell>
          <cell r="Y204">
            <v>4400</v>
          </cell>
          <cell r="Z204">
            <v>3660</v>
          </cell>
          <cell r="AA204">
            <v>4040</v>
          </cell>
          <cell r="AB204">
            <v>5240</v>
          </cell>
          <cell r="AC204">
            <v>2080</v>
          </cell>
          <cell r="AD204">
            <v>1600</v>
          </cell>
          <cell r="AE204">
            <v>2350</v>
          </cell>
          <cell r="AF204">
            <v>970</v>
          </cell>
          <cell r="AG204">
            <v>2890</v>
          </cell>
          <cell r="AH204">
            <v>4580</v>
          </cell>
          <cell r="AI204">
            <v>5530</v>
          </cell>
          <cell r="AJ204">
            <v>1980</v>
          </cell>
          <cell r="AK204">
            <v>0</v>
          </cell>
          <cell r="AL204">
            <v>0</v>
          </cell>
          <cell r="AM204">
            <v>1.3462050599201065</v>
          </cell>
          <cell r="AN204">
            <v>4523.2490013315582</v>
          </cell>
          <cell r="AO204">
            <v>4950</v>
          </cell>
          <cell r="AP204">
            <v>6096.0441582336698</v>
          </cell>
          <cell r="AQ204">
            <v>5500.301144073911</v>
          </cell>
        </row>
        <row r="205">
          <cell r="A205">
            <v>78763</v>
          </cell>
          <cell r="B205" t="str">
            <v>Эмаль ПФ-115 КМ серая 20 кг</v>
          </cell>
          <cell r="C205" t="str">
            <v/>
          </cell>
          <cell r="D205">
            <v>0</v>
          </cell>
          <cell r="E205">
            <v>20</v>
          </cell>
          <cell r="F205">
            <v>1920</v>
          </cell>
          <cell r="G205">
            <v>2020</v>
          </cell>
          <cell r="H205">
            <v>3020</v>
          </cell>
          <cell r="I205">
            <v>4360</v>
          </cell>
          <cell r="J205">
            <v>5560</v>
          </cell>
          <cell r="K205">
            <v>7400</v>
          </cell>
          <cell r="L205">
            <v>4340</v>
          </cell>
          <cell r="M205">
            <v>6240</v>
          </cell>
          <cell r="N205">
            <v>5160</v>
          </cell>
          <cell r="O205">
            <v>6480</v>
          </cell>
          <cell r="P205">
            <v>4880</v>
          </cell>
          <cell r="Q205">
            <v>2140</v>
          </cell>
          <cell r="R205">
            <v>2660</v>
          </cell>
          <cell r="S205">
            <v>2400</v>
          </cell>
          <cell r="T205">
            <v>2240</v>
          </cell>
          <cell r="U205">
            <v>4000</v>
          </cell>
          <cell r="V205">
            <v>8820</v>
          </cell>
          <cell r="W205">
            <v>6420</v>
          </cell>
          <cell r="X205">
            <v>4160</v>
          </cell>
          <cell r="Y205">
            <v>4660</v>
          </cell>
          <cell r="Z205">
            <v>4500</v>
          </cell>
          <cell r="AA205">
            <v>3040</v>
          </cell>
          <cell r="AB205">
            <v>4160</v>
          </cell>
          <cell r="AC205">
            <v>1700</v>
          </cell>
          <cell r="AD205">
            <v>220</v>
          </cell>
          <cell r="AE205">
            <v>600</v>
          </cell>
          <cell r="AF205">
            <v>440</v>
          </cell>
          <cell r="AG205">
            <v>2940</v>
          </cell>
          <cell r="AH205">
            <v>3180</v>
          </cell>
          <cell r="AI205">
            <v>5060</v>
          </cell>
          <cell r="AJ205">
            <v>1420</v>
          </cell>
          <cell r="AK205">
            <v>0</v>
          </cell>
          <cell r="AL205">
            <v>0</v>
          </cell>
          <cell r="AM205">
            <v>0.54068241469816269</v>
          </cell>
          <cell r="AN205">
            <v>2249.2388451443567</v>
          </cell>
          <cell r="AO205">
            <v>3550</v>
          </cell>
          <cell r="AP205">
            <v>2832.0309278350514</v>
          </cell>
          <cell r="AQ205">
            <v>3378.5524393213732</v>
          </cell>
        </row>
        <row r="206">
          <cell r="A206">
            <v>78765</v>
          </cell>
          <cell r="B206" t="str">
            <v>Эмаль ПФ-115 КМ черная 0.9 кг</v>
          </cell>
          <cell r="C206" t="str">
            <v/>
          </cell>
          <cell r="D206">
            <v>0</v>
          </cell>
          <cell r="E206">
            <v>0.9</v>
          </cell>
          <cell r="F206">
            <v>163.80000000000001</v>
          </cell>
          <cell r="G206">
            <v>151.19999999999999</v>
          </cell>
          <cell r="H206">
            <v>138.6</v>
          </cell>
          <cell r="I206">
            <v>226.8</v>
          </cell>
          <cell r="J206">
            <v>252</v>
          </cell>
          <cell r="K206">
            <v>466.2</v>
          </cell>
          <cell r="L206">
            <v>428.4</v>
          </cell>
          <cell r="M206">
            <v>453.6</v>
          </cell>
          <cell r="N206">
            <v>327.60000000000002</v>
          </cell>
          <cell r="O206">
            <v>466.2</v>
          </cell>
          <cell r="P206">
            <v>415.8</v>
          </cell>
          <cell r="Q206">
            <v>239.4</v>
          </cell>
          <cell r="R206">
            <v>176.4</v>
          </cell>
          <cell r="S206">
            <v>201.6</v>
          </cell>
          <cell r="T206">
            <v>176.4</v>
          </cell>
          <cell r="U206">
            <v>163.80000000000001</v>
          </cell>
          <cell r="V206">
            <v>327.60000000000002</v>
          </cell>
          <cell r="W206">
            <v>352.8</v>
          </cell>
          <cell r="X206">
            <v>403.2</v>
          </cell>
          <cell r="Y206">
            <v>302.39999999999998</v>
          </cell>
          <cell r="Z206">
            <v>264.60000000000002</v>
          </cell>
          <cell r="AA206">
            <v>252</v>
          </cell>
          <cell r="AB206">
            <v>289.8</v>
          </cell>
          <cell r="AC206">
            <v>88.2</v>
          </cell>
          <cell r="AD206">
            <v>75.599999999999994</v>
          </cell>
          <cell r="AE206">
            <v>88.2</v>
          </cell>
          <cell r="AF206">
            <v>63</v>
          </cell>
          <cell r="AG206">
            <v>50.4</v>
          </cell>
          <cell r="AH206">
            <v>403.2</v>
          </cell>
          <cell r="AI206">
            <v>390.6</v>
          </cell>
          <cell r="AJ206">
            <v>163.80000000000001</v>
          </cell>
          <cell r="AK206">
            <v>0</v>
          </cell>
          <cell r="AL206">
            <v>0</v>
          </cell>
          <cell r="AM206">
            <v>1.1666666666666665</v>
          </cell>
          <cell r="AN206">
            <v>470.39999999999992</v>
          </cell>
          <cell r="AO206">
            <v>409.5</v>
          </cell>
          <cell r="AP206">
            <v>335.80465116279066</v>
          </cell>
          <cell r="AQ206">
            <v>283.97616279069774</v>
          </cell>
        </row>
        <row r="207">
          <cell r="A207">
            <v>78766</v>
          </cell>
          <cell r="B207" t="str">
            <v>Эмаль ПФ-115 КМ черная 1.9 кг</v>
          </cell>
          <cell r="C207" t="str">
            <v/>
          </cell>
          <cell r="D207">
            <v>0</v>
          </cell>
          <cell r="E207">
            <v>1.9</v>
          </cell>
          <cell r="F207">
            <v>262.2</v>
          </cell>
          <cell r="G207">
            <v>136.80000000000001</v>
          </cell>
          <cell r="H207">
            <v>319.2</v>
          </cell>
          <cell r="I207">
            <v>969</v>
          </cell>
          <cell r="J207">
            <v>1903.8</v>
          </cell>
          <cell r="K207">
            <v>1835.4</v>
          </cell>
          <cell r="L207">
            <v>1026</v>
          </cell>
          <cell r="M207">
            <v>1071.5999999999999</v>
          </cell>
          <cell r="N207">
            <v>239.4</v>
          </cell>
          <cell r="O207">
            <v>547.20000000000005</v>
          </cell>
          <cell r="P207">
            <v>957.6</v>
          </cell>
          <cell r="Q207">
            <v>216.6</v>
          </cell>
          <cell r="R207">
            <v>228</v>
          </cell>
          <cell r="S207">
            <v>79.8</v>
          </cell>
          <cell r="T207">
            <v>171</v>
          </cell>
          <cell r="U207">
            <v>1584.6</v>
          </cell>
          <cell r="V207">
            <v>1482</v>
          </cell>
          <cell r="W207">
            <v>1459.2</v>
          </cell>
          <cell r="X207">
            <v>809.4</v>
          </cell>
          <cell r="Y207">
            <v>364.8</v>
          </cell>
          <cell r="Z207">
            <v>342</v>
          </cell>
          <cell r="AA207">
            <v>433.2</v>
          </cell>
          <cell r="AB207">
            <v>490.2</v>
          </cell>
          <cell r="AC207">
            <v>307.8</v>
          </cell>
          <cell r="AD207">
            <v>136.80000000000001</v>
          </cell>
          <cell r="AE207">
            <v>262.2</v>
          </cell>
          <cell r="AF207">
            <v>102.6</v>
          </cell>
          <cell r="AG207">
            <v>1276.8</v>
          </cell>
          <cell r="AH207">
            <v>1630.2</v>
          </cell>
          <cell r="AI207">
            <v>1687.2</v>
          </cell>
          <cell r="AJ207">
            <v>490.2</v>
          </cell>
          <cell r="AK207">
            <v>0</v>
          </cell>
          <cell r="AL207">
            <v>0</v>
          </cell>
          <cell r="AM207">
            <v>1.1279069767441861</v>
          </cell>
          <cell r="AN207">
            <v>912.92790697674411</v>
          </cell>
          <cell r="AO207">
            <v>1225.5</v>
          </cell>
          <cell r="AP207">
            <v>441.86261398176293</v>
          </cell>
          <cell r="AQ207">
            <v>435.65748233529388</v>
          </cell>
        </row>
        <row r="208">
          <cell r="A208">
            <v>78767</v>
          </cell>
          <cell r="B208" t="str">
            <v>Эмаль ПФ-115 КМ черная 10 кг</v>
          </cell>
          <cell r="C208" t="str">
            <v/>
          </cell>
          <cell r="D208">
            <v>0</v>
          </cell>
          <cell r="E208">
            <v>10</v>
          </cell>
          <cell r="F208">
            <v>520</v>
          </cell>
          <cell r="G208">
            <v>510</v>
          </cell>
          <cell r="H208">
            <v>630</v>
          </cell>
          <cell r="I208">
            <v>1300</v>
          </cell>
          <cell r="J208">
            <v>2770</v>
          </cell>
          <cell r="K208">
            <v>2370</v>
          </cell>
          <cell r="L208">
            <v>1780</v>
          </cell>
          <cell r="M208">
            <v>2450</v>
          </cell>
          <cell r="N208">
            <v>1420</v>
          </cell>
          <cell r="O208">
            <v>1240</v>
          </cell>
          <cell r="P208">
            <v>1260</v>
          </cell>
          <cell r="Q208">
            <v>970</v>
          </cell>
          <cell r="R208">
            <v>540</v>
          </cell>
          <cell r="S208">
            <v>690</v>
          </cell>
          <cell r="T208">
            <v>780</v>
          </cell>
          <cell r="U208">
            <v>920</v>
          </cell>
          <cell r="V208">
            <v>2790</v>
          </cell>
          <cell r="W208">
            <v>1430</v>
          </cell>
          <cell r="X208">
            <v>1370</v>
          </cell>
          <cell r="Y208">
            <v>1850</v>
          </cell>
          <cell r="Z208">
            <v>940</v>
          </cell>
          <cell r="AA208">
            <v>1270</v>
          </cell>
          <cell r="AB208">
            <v>1230</v>
          </cell>
          <cell r="AC208">
            <v>880</v>
          </cell>
          <cell r="AD208">
            <v>600</v>
          </cell>
          <cell r="AE208">
            <v>260</v>
          </cell>
          <cell r="AF208">
            <v>300</v>
          </cell>
          <cell r="AG208">
            <v>220</v>
          </cell>
          <cell r="AH208">
            <v>1570</v>
          </cell>
          <cell r="AI208">
            <v>2140</v>
          </cell>
          <cell r="AJ208">
            <v>1000</v>
          </cell>
          <cell r="AK208">
            <v>0</v>
          </cell>
          <cell r="AL208">
            <v>0</v>
          </cell>
          <cell r="AM208">
            <v>0.87914691943127965</v>
          </cell>
          <cell r="AN208">
            <v>1204.431279620853</v>
          </cell>
          <cell r="AO208">
            <v>2500</v>
          </cell>
          <cell r="AP208">
            <v>2055.1878354203936</v>
          </cell>
          <cell r="AQ208">
            <v>1353.435820493585</v>
          </cell>
        </row>
        <row r="209">
          <cell r="A209">
            <v>78768</v>
          </cell>
          <cell r="B209" t="str">
            <v>Эмаль ПФ-115 КМ черная 20 кг</v>
          </cell>
          <cell r="C209" t="str">
            <v/>
          </cell>
          <cell r="D209">
            <v>0</v>
          </cell>
          <cell r="E209">
            <v>20</v>
          </cell>
          <cell r="F209">
            <v>780</v>
          </cell>
          <cell r="G209">
            <v>440</v>
          </cell>
          <cell r="H209">
            <v>820</v>
          </cell>
          <cell r="I209">
            <v>1080</v>
          </cell>
          <cell r="J209">
            <v>2980</v>
          </cell>
          <cell r="K209">
            <v>1640</v>
          </cell>
          <cell r="L209">
            <v>1120</v>
          </cell>
          <cell r="M209">
            <v>1120</v>
          </cell>
          <cell r="N209">
            <v>800</v>
          </cell>
          <cell r="O209">
            <v>1100</v>
          </cell>
          <cell r="P209">
            <v>780</v>
          </cell>
          <cell r="Q209">
            <v>700</v>
          </cell>
          <cell r="R209">
            <v>600</v>
          </cell>
          <cell r="S209">
            <v>400</v>
          </cell>
          <cell r="T209">
            <v>440</v>
          </cell>
          <cell r="U209">
            <v>760</v>
          </cell>
          <cell r="V209">
            <v>2980</v>
          </cell>
          <cell r="W209">
            <v>1780</v>
          </cell>
          <cell r="X209">
            <v>1680</v>
          </cell>
          <cell r="Y209">
            <v>1440</v>
          </cell>
          <cell r="Z209">
            <v>980</v>
          </cell>
          <cell r="AA209">
            <v>2020</v>
          </cell>
          <cell r="AB209">
            <v>940</v>
          </cell>
          <cell r="AC209">
            <v>460</v>
          </cell>
          <cell r="AD209">
            <v>140</v>
          </cell>
          <cell r="AE209">
            <v>100</v>
          </cell>
          <cell r="AF209">
            <v>80</v>
          </cell>
          <cell r="AG209">
            <v>260</v>
          </cell>
          <cell r="AH209">
            <v>1860</v>
          </cell>
          <cell r="AI209">
            <v>1880</v>
          </cell>
          <cell r="AJ209">
            <v>580</v>
          </cell>
          <cell r="AK209">
            <v>0</v>
          </cell>
          <cell r="AL209">
            <v>0</v>
          </cell>
          <cell r="AM209">
            <v>0.7857142857142857</v>
          </cell>
          <cell r="AN209">
            <v>1320</v>
          </cell>
          <cell r="AO209">
            <v>1450</v>
          </cell>
          <cell r="AP209">
            <v>1160.4968944099378</v>
          </cell>
          <cell r="AQ209">
            <v>898.0993788819876</v>
          </cell>
        </row>
        <row r="210">
          <cell r="A210">
            <v>78770</v>
          </cell>
          <cell r="B210" t="str">
            <v>Эмаль ПФ-115 КМ желтая 0.9 кг</v>
          </cell>
          <cell r="C210" t="str">
            <v/>
          </cell>
          <cell r="D210">
            <v>0</v>
          </cell>
          <cell r="E210">
            <v>0.9</v>
          </cell>
          <cell r="F210">
            <v>50.4</v>
          </cell>
          <cell r="G210">
            <v>88.2</v>
          </cell>
          <cell r="H210">
            <v>113.4</v>
          </cell>
          <cell r="I210">
            <v>226.8</v>
          </cell>
          <cell r="J210">
            <v>277.2</v>
          </cell>
          <cell r="K210">
            <v>478.8</v>
          </cell>
          <cell r="L210">
            <v>289.8</v>
          </cell>
          <cell r="M210">
            <v>252</v>
          </cell>
          <cell r="N210">
            <v>214.2</v>
          </cell>
          <cell r="O210">
            <v>226.8</v>
          </cell>
          <cell r="P210">
            <v>163.80000000000001</v>
          </cell>
          <cell r="Q210">
            <v>151.19999999999999</v>
          </cell>
          <cell r="R210">
            <v>176.4</v>
          </cell>
          <cell r="S210">
            <v>126</v>
          </cell>
          <cell r="T210">
            <v>100.8</v>
          </cell>
          <cell r="U210">
            <v>189</v>
          </cell>
          <cell r="V210">
            <v>390.6</v>
          </cell>
          <cell r="W210">
            <v>302.39999999999998</v>
          </cell>
          <cell r="X210">
            <v>201.6</v>
          </cell>
          <cell r="Y210">
            <v>340.2</v>
          </cell>
          <cell r="Z210">
            <v>226.8</v>
          </cell>
          <cell r="AA210">
            <v>214.2</v>
          </cell>
          <cell r="AB210">
            <v>176.4</v>
          </cell>
          <cell r="AC210">
            <v>88.2</v>
          </cell>
          <cell r="AD210">
            <v>100.8</v>
          </cell>
          <cell r="AE210">
            <v>75.599999999999994</v>
          </cell>
          <cell r="AF210">
            <v>0</v>
          </cell>
          <cell r="AG210">
            <v>138.6</v>
          </cell>
          <cell r="AH210">
            <v>390.6</v>
          </cell>
          <cell r="AI210">
            <v>302.39999999999998</v>
          </cell>
          <cell r="AJ210">
            <v>100.8</v>
          </cell>
          <cell r="AK210">
            <v>0</v>
          </cell>
          <cell r="AL210">
            <v>0</v>
          </cell>
          <cell r="AM210">
            <v>1</v>
          </cell>
          <cell r="AN210">
            <v>201.6</v>
          </cell>
          <cell r="AO210">
            <v>252</v>
          </cell>
          <cell r="AP210">
            <v>359.36619718309856</v>
          </cell>
          <cell r="AQ210">
            <v>245.48942610889219</v>
          </cell>
        </row>
        <row r="211">
          <cell r="A211">
            <v>78771</v>
          </cell>
          <cell r="B211" t="str">
            <v>Эмаль ПФ-115 КМ желтая 1.9 кг</v>
          </cell>
          <cell r="C211" t="str">
            <v/>
          </cell>
          <cell r="D211">
            <v>0</v>
          </cell>
          <cell r="E211">
            <v>1.9</v>
          </cell>
          <cell r="F211">
            <v>193.8</v>
          </cell>
          <cell r="G211">
            <v>216.6</v>
          </cell>
          <cell r="H211">
            <v>330.6</v>
          </cell>
          <cell r="I211">
            <v>1117.2</v>
          </cell>
          <cell r="J211">
            <v>1402.2</v>
          </cell>
          <cell r="K211">
            <v>1846.8</v>
          </cell>
          <cell r="L211">
            <v>638.4</v>
          </cell>
          <cell r="M211">
            <v>672.6</v>
          </cell>
          <cell r="N211">
            <v>342</v>
          </cell>
          <cell r="O211">
            <v>239.4</v>
          </cell>
          <cell r="P211">
            <v>102.6</v>
          </cell>
          <cell r="Q211">
            <v>68.400000000000006</v>
          </cell>
          <cell r="R211">
            <v>456</v>
          </cell>
          <cell r="S211">
            <v>114</v>
          </cell>
          <cell r="T211">
            <v>79.8</v>
          </cell>
          <cell r="U211">
            <v>1938</v>
          </cell>
          <cell r="V211">
            <v>1219.8</v>
          </cell>
          <cell r="W211">
            <v>1390.8</v>
          </cell>
          <cell r="X211">
            <v>741</v>
          </cell>
          <cell r="Y211">
            <v>182.4</v>
          </cell>
          <cell r="Z211">
            <v>307.8</v>
          </cell>
          <cell r="AA211">
            <v>273.60000000000002</v>
          </cell>
          <cell r="AB211">
            <v>399</v>
          </cell>
          <cell r="AC211">
            <v>216.6</v>
          </cell>
          <cell r="AD211">
            <v>114</v>
          </cell>
          <cell r="AE211">
            <v>159.6</v>
          </cell>
          <cell r="AF211">
            <v>22.8</v>
          </cell>
          <cell r="AG211">
            <v>1254</v>
          </cell>
          <cell r="AH211">
            <v>1368</v>
          </cell>
          <cell r="AI211">
            <v>1219.8</v>
          </cell>
          <cell r="AJ211">
            <v>342</v>
          </cell>
          <cell r="AK211">
            <v>0</v>
          </cell>
          <cell r="AL211">
            <v>0</v>
          </cell>
          <cell r="AM211">
            <v>0.99126637554585162</v>
          </cell>
          <cell r="AN211">
            <v>734.52838427947609</v>
          </cell>
          <cell r="AO211">
            <v>855</v>
          </cell>
          <cell r="AP211">
            <v>187.36326530612246</v>
          </cell>
          <cell r="AQ211">
            <v>300.87885794711974</v>
          </cell>
        </row>
        <row r="212">
          <cell r="A212">
            <v>78772</v>
          </cell>
          <cell r="B212" t="str">
            <v>Эмаль ПФ-115 КМ желтая 10 кг</v>
          </cell>
          <cell r="C212" t="str">
            <v/>
          </cell>
          <cell r="D212">
            <v>0</v>
          </cell>
          <cell r="E212">
            <v>10</v>
          </cell>
          <cell r="F212">
            <v>340</v>
          </cell>
          <cell r="G212">
            <v>400</v>
          </cell>
          <cell r="H212">
            <v>1120</v>
          </cell>
          <cell r="I212">
            <v>1820</v>
          </cell>
          <cell r="J212">
            <v>1780</v>
          </cell>
          <cell r="K212">
            <v>2470</v>
          </cell>
          <cell r="L212">
            <v>1880</v>
          </cell>
          <cell r="M212">
            <v>1970</v>
          </cell>
          <cell r="N212">
            <v>1220</v>
          </cell>
          <cell r="O212">
            <v>1370</v>
          </cell>
          <cell r="P212">
            <v>1170</v>
          </cell>
          <cell r="Q212">
            <v>790</v>
          </cell>
          <cell r="R212">
            <v>1210</v>
          </cell>
          <cell r="S212">
            <v>920</v>
          </cell>
          <cell r="T212">
            <v>520</v>
          </cell>
          <cell r="U212">
            <v>1750</v>
          </cell>
          <cell r="V212">
            <v>1840</v>
          </cell>
          <cell r="W212">
            <v>1280</v>
          </cell>
          <cell r="X212">
            <v>780</v>
          </cell>
          <cell r="Y212">
            <v>1470</v>
          </cell>
          <cell r="Z212">
            <v>1280</v>
          </cell>
          <cell r="AA212">
            <v>1470</v>
          </cell>
          <cell r="AB212">
            <v>1450</v>
          </cell>
          <cell r="AC212">
            <v>270</v>
          </cell>
          <cell r="AD212">
            <v>360</v>
          </cell>
          <cell r="AE212">
            <v>260</v>
          </cell>
          <cell r="AF212">
            <v>220</v>
          </cell>
          <cell r="AG212">
            <v>550</v>
          </cell>
          <cell r="AH212">
            <v>1380</v>
          </cell>
          <cell r="AI212">
            <v>1210</v>
          </cell>
          <cell r="AJ212">
            <v>690</v>
          </cell>
          <cell r="AK212">
            <v>0</v>
          </cell>
          <cell r="AL212">
            <v>0</v>
          </cell>
          <cell r="AM212">
            <v>0.83012820512820518</v>
          </cell>
          <cell r="AN212">
            <v>647.5</v>
          </cell>
          <cell r="AO212">
            <v>1725</v>
          </cell>
          <cell r="AP212">
            <v>1626.4230769230771</v>
          </cell>
          <cell r="AQ212">
            <v>1654.0004358247984</v>
          </cell>
        </row>
        <row r="213">
          <cell r="A213">
            <v>78774</v>
          </cell>
          <cell r="B213" t="str">
            <v>Эмаль ПФ-115 КМ зеленая 0.9 кг</v>
          </cell>
          <cell r="C213" t="str">
            <v/>
          </cell>
          <cell r="D213">
            <v>0</v>
          </cell>
          <cell r="E213">
            <v>0.9</v>
          </cell>
          <cell r="F213">
            <v>63</v>
          </cell>
          <cell r="G213">
            <v>50.4</v>
          </cell>
          <cell r="H213">
            <v>88.2</v>
          </cell>
          <cell r="I213">
            <v>88.2</v>
          </cell>
          <cell r="J213">
            <v>214.2</v>
          </cell>
          <cell r="K213">
            <v>327.60000000000002</v>
          </cell>
          <cell r="L213">
            <v>189</v>
          </cell>
          <cell r="M213">
            <v>201.6</v>
          </cell>
          <cell r="N213">
            <v>113.4</v>
          </cell>
          <cell r="O213">
            <v>189</v>
          </cell>
          <cell r="P213">
            <v>138.6</v>
          </cell>
          <cell r="Q213">
            <v>126</v>
          </cell>
          <cell r="R213">
            <v>88.2</v>
          </cell>
          <cell r="S213">
            <v>88.2</v>
          </cell>
          <cell r="T213">
            <v>50.4</v>
          </cell>
          <cell r="U213">
            <v>100.8</v>
          </cell>
          <cell r="V213">
            <v>226.8</v>
          </cell>
          <cell r="W213">
            <v>239.4</v>
          </cell>
          <cell r="X213">
            <v>239.4</v>
          </cell>
          <cell r="Y213">
            <v>277.2</v>
          </cell>
          <cell r="Z213">
            <v>176.4</v>
          </cell>
          <cell r="AA213">
            <v>201.6</v>
          </cell>
          <cell r="AB213">
            <v>126</v>
          </cell>
          <cell r="AC213">
            <v>75.599999999999994</v>
          </cell>
          <cell r="AD213">
            <v>37.799999999999997</v>
          </cell>
          <cell r="AE213">
            <v>0</v>
          </cell>
          <cell r="AF213">
            <v>37.799999999999997</v>
          </cell>
          <cell r="AG213">
            <v>12.6</v>
          </cell>
          <cell r="AH213">
            <v>214.2</v>
          </cell>
          <cell r="AI213">
            <v>214.2</v>
          </cell>
          <cell r="AJ213">
            <v>100.8</v>
          </cell>
          <cell r="AK213">
            <v>0</v>
          </cell>
          <cell r="AL213">
            <v>0</v>
          </cell>
          <cell r="AM213">
            <v>0.91891891891891875</v>
          </cell>
          <cell r="AN213">
            <v>219.98918918918915</v>
          </cell>
          <cell r="AO213">
            <v>252</v>
          </cell>
          <cell r="AP213">
            <v>267.29999999999995</v>
          </cell>
          <cell r="AQ213">
            <v>171.15</v>
          </cell>
        </row>
        <row r="214">
          <cell r="A214">
            <v>78775</v>
          </cell>
          <cell r="B214" t="str">
            <v>Эмаль ПФ-115 КМ зеленая 1.9 кг</v>
          </cell>
          <cell r="C214" t="str">
            <v/>
          </cell>
          <cell r="D214">
            <v>0</v>
          </cell>
          <cell r="E214">
            <v>1.9</v>
          </cell>
          <cell r="F214">
            <v>79.8</v>
          </cell>
          <cell r="G214">
            <v>68.400000000000006</v>
          </cell>
          <cell r="H214">
            <v>148.19999999999999</v>
          </cell>
          <cell r="I214">
            <v>672.6</v>
          </cell>
          <cell r="J214">
            <v>877.8</v>
          </cell>
          <cell r="K214">
            <v>1345.2</v>
          </cell>
          <cell r="L214">
            <v>558.6</v>
          </cell>
          <cell r="M214">
            <v>136.80000000000001</v>
          </cell>
          <cell r="N214">
            <v>604.20000000000005</v>
          </cell>
          <cell r="O214">
            <v>159.6</v>
          </cell>
          <cell r="P214">
            <v>478.8</v>
          </cell>
          <cell r="Q214">
            <v>68.400000000000006</v>
          </cell>
          <cell r="R214">
            <v>34.200000000000003</v>
          </cell>
          <cell r="S214">
            <v>79.8</v>
          </cell>
          <cell r="T214">
            <v>22.8</v>
          </cell>
          <cell r="U214">
            <v>604.20000000000005</v>
          </cell>
          <cell r="V214">
            <v>1299.5999999999999</v>
          </cell>
          <cell r="W214">
            <v>1174.2</v>
          </cell>
          <cell r="X214">
            <v>353.4</v>
          </cell>
          <cell r="Y214">
            <v>319.2</v>
          </cell>
          <cell r="Z214">
            <v>627</v>
          </cell>
          <cell r="AA214">
            <v>273.60000000000002</v>
          </cell>
          <cell r="AB214">
            <v>262.2</v>
          </cell>
          <cell r="AC214">
            <v>57</v>
          </cell>
          <cell r="AD214">
            <v>68.400000000000006</v>
          </cell>
          <cell r="AE214">
            <v>0</v>
          </cell>
          <cell r="AF214">
            <v>45.6</v>
          </cell>
          <cell r="AG214">
            <v>946.2</v>
          </cell>
          <cell r="AH214">
            <v>1231.2</v>
          </cell>
          <cell r="AI214">
            <v>1242.5999999999999</v>
          </cell>
          <cell r="AJ214">
            <v>159.6</v>
          </cell>
          <cell r="AK214">
            <v>0</v>
          </cell>
          <cell r="AL214">
            <v>0</v>
          </cell>
          <cell r="AM214">
            <v>1</v>
          </cell>
          <cell r="AN214">
            <v>353.4</v>
          </cell>
          <cell r="AO214">
            <v>399</v>
          </cell>
          <cell r="AP214">
            <v>324.34838709677427</v>
          </cell>
          <cell r="AQ214">
            <v>667.45161290322574</v>
          </cell>
        </row>
        <row r="215">
          <cell r="A215">
            <v>78776</v>
          </cell>
          <cell r="B215" t="str">
            <v>Эмаль ПФ-115 КМ зеленая 10 кг</v>
          </cell>
          <cell r="C215" t="str">
            <v/>
          </cell>
          <cell r="D215">
            <v>0</v>
          </cell>
          <cell r="E215">
            <v>10</v>
          </cell>
          <cell r="F215">
            <v>360</v>
          </cell>
          <cell r="G215">
            <v>280</v>
          </cell>
          <cell r="H215">
            <v>1420</v>
          </cell>
          <cell r="I215">
            <v>1220</v>
          </cell>
          <cell r="J215">
            <v>1440</v>
          </cell>
          <cell r="K215">
            <v>2430</v>
          </cell>
          <cell r="L215">
            <v>1400</v>
          </cell>
          <cell r="M215">
            <v>1550</v>
          </cell>
          <cell r="N215">
            <v>1340</v>
          </cell>
          <cell r="O215">
            <v>660</v>
          </cell>
          <cell r="P215">
            <v>980</v>
          </cell>
          <cell r="Q215">
            <v>1480</v>
          </cell>
          <cell r="R215">
            <v>610</v>
          </cell>
          <cell r="S215">
            <v>730</v>
          </cell>
          <cell r="T215">
            <v>410</v>
          </cell>
          <cell r="U215">
            <v>1460</v>
          </cell>
          <cell r="V215">
            <v>1760</v>
          </cell>
          <cell r="W215">
            <v>1200</v>
          </cell>
          <cell r="X215">
            <v>930</v>
          </cell>
          <cell r="Y215">
            <v>1240</v>
          </cell>
          <cell r="Z215">
            <v>1130</v>
          </cell>
          <cell r="AA215">
            <v>1100</v>
          </cell>
          <cell r="AB215">
            <v>1580</v>
          </cell>
          <cell r="AC215">
            <v>960</v>
          </cell>
          <cell r="AD215">
            <v>460</v>
          </cell>
          <cell r="AE215">
            <v>500</v>
          </cell>
          <cell r="AF215">
            <v>910</v>
          </cell>
          <cell r="AG215">
            <v>510</v>
          </cell>
          <cell r="AH215">
            <v>1010</v>
          </cell>
          <cell r="AI215">
            <v>1780</v>
          </cell>
          <cell r="AJ215">
            <v>610</v>
          </cell>
          <cell r="AK215">
            <v>0</v>
          </cell>
          <cell r="AL215">
            <v>0</v>
          </cell>
          <cell r="AM215">
            <v>0.94256756756756754</v>
          </cell>
          <cell r="AN215">
            <v>876.58783783783781</v>
          </cell>
          <cell r="AO215">
            <v>1525</v>
          </cell>
          <cell r="AP215">
            <v>1375.4755784061695</v>
          </cell>
          <cell r="AQ215">
            <v>1569.4176271807037</v>
          </cell>
        </row>
        <row r="216">
          <cell r="A216">
            <v>78778</v>
          </cell>
          <cell r="B216" t="str">
            <v>Эмаль ПФ-115 КМ красная 0.9 кг</v>
          </cell>
          <cell r="C216" t="str">
            <v/>
          </cell>
          <cell r="D216">
            <v>0</v>
          </cell>
          <cell r="E216">
            <v>0.9</v>
          </cell>
          <cell r="F216">
            <v>75.599999999999994</v>
          </cell>
          <cell r="G216">
            <v>126</v>
          </cell>
          <cell r="H216">
            <v>63</v>
          </cell>
          <cell r="I216">
            <v>163.80000000000001</v>
          </cell>
          <cell r="J216">
            <v>226.8</v>
          </cell>
          <cell r="K216">
            <v>315</v>
          </cell>
          <cell r="L216">
            <v>113.4</v>
          </cell>
          <cell r="M216">
            <v>226.8</v>
          </cell>
          <cell r="N216">
            <v>151.19999999999999</v>
          </cell>
          <cell r="O216">
            <v>201.6</v>
          </cell>
          <cell r="P216">
            <v>151.19999999999999</v>
          </cell>
          <cell r="Q216">
            <v>113.4</v>
          </cell>
          <cell r="R216">
            <v>50.4</v>
          </cell>
          <cell r="S216">
            <v>75.599999999999994</v>
          </cell>
          <cell r="T216">
            <v>126</v>
          </cell>
          <cell r="U216">
            <v>163.80000000000001</v>
          </cell>
          <cell r="V216">
            <v>214.2</v>
          </cell>
          <cell r="W216">
            <v>189</v>
          </cell>
          <cell r="X216">
            <v>189</v>
          </cell>
          <cell r="Y216">
            <v>214.2</v>
          </cell>
          <cell r="Z216">
            <v>163.80000000000001</v>
          </cell>
          <cell r="AA216">
            <v>138.6</v>
          </cell>
          <cell r="AB216">
            <v>163.80000000000001</v>
          </cell>
          <cell r="AC216">
            <v>126</v>
          </cell>
          <cell r="AD216">
            <v>37.799999999999997</v>
          </cell>
          <cell r="AE216">
            <v>25.2</v>
          </cell>
          <cell r="AF216">
            <v>37.799999999999997</v>
          </cell>
          <cell r="AG216">
            <v>12.6</v>
          </cell>
          <cell r="AH216">
            <v>201.6</v>
          </cell>
          <cell r="AI216">
            <v>252</v>
          </cell>
          <cell r="AJ216">
            <v>113.4</v>
          </cell>
          <cell r="AK216">
            <v>0</v>
          </cell>
          <cell r="AL216">
            <v>0</v>
          </cell>
          <cell r="AM216">
            <v>1.125</v>
          </cell>
          <cell r="AN216">
            <v>212.625</v>
          </cell>
          <cell r="AO216">
            <v>283.5</v>
          </cell>
          <cell r="AP216">
            <v>266.6106382978723</v>
          </cell>
          <cell r="AQ216">
            <v>221.86038931643279</v>
          </cell>
        </row>
        <row r="217">
          <cell r="A217">
            <v>78779</v>
          </cell>
          <cell r="B217" t="str">
            <v>Эмаль ПФ-115 КМ красная 1.9 кг</v>
          </cell>
          <cell r="C217" t="str">
            <v/>
          </cell>
          <cell r="D217">
            <v>0</v>
          </cell>
          <cell r="E217">
            <v>1.9</v>
          </cell>
          <cell r="F217">
            <v>159.6</v>
          </cell>
          <cell r="G217">
            <v>68.400000000000006</v>
          </cell>
          <cell r="H217">
            <v>205.2</v>
          </cell>
          <cell r="I217">
            <v>969</v>
          </cell>
          <cell r="J217">
            <v>1265.4000000000001</v>
          </cell>
          <cell r="K217">
            <v>1299.5999999999999</v>
          </cell>
          <cell r="L217">
            <v>684</v>
          </cell>
          <cell r="M217">
            <v>672.6</v>
          </cell>
          <cell r="N217">
            <v>136.80000000000001</v>
          </cell>
          <cell r="O217">
            <v>228</v>
          </cell>
          <cell r="P217">
            <v>649.79999999999995</v>
          </cell>
          <cell r="Q217">
            <v>114</v>
          </cell>
          <cell r="R217">
            <v>125.4</v>
          </cell>
          <cell r="S217">
            <v>364.8</v>
          </cell>
          <cell r="T217">
            <v>228</v>
          </cell>
          <cell r="U217">
            <v>1482</v>
          </cell>
          <cell r="V217">
            <v>1425</v>
          </cell>
          <cell r="W217">
            <v>923.4</v>
          </cell>
          <cell r="X217">
            <v>649.79999999999995</v>
          </cell>
          <cell r="Y217">
            <v>136.80000000000001</v>
          </cell>
          <cell r="Z217">
            <v>125.4</v>
          </cell>
          <cell r="AA217">
            <v>342</v>
          </cell>
          <cell r="AB217">
            <v>273.60000000000002</v>
          </cell>
          <cell r="AC217">
            <v>513</v>
          </cell>
          <cell r="AD217">
            <v>182.4</v>
          </cell>
          <cell r="AE217">
            <v>79.8</v>
          </cell>
          <cell r="AF217">
            <v>22.8</v>
          </cell>
          <cell r="AG217">
            <v>855</v>
          </cell>
          <cell r="AH217">
            <v>1653</v>
          </cell>
          <cell r="AI217">
            <v>1276.8</v>
          </cell>
          <cell r="AJ217">
            <v>399</v>
          </cell>
          <cell r="AK217">
            <v>0</v>
          </cell>
          <cell r="AL217">
            <v>0</v>
          </cell>
          <cell r="AM217">
            <v>1.2475728155339807</v>
          </cell>
          <cell r="AN217">
            <v>810.67281553398061</v>
          </cell>
          <cell r="AO217">
            <v>997.5</v>
          </cell>
          <cell r="AP217">
            <v>179.19239543726241</v>
          </cell>
          <cell r="AQ217">
            <v>179.92277566539926</v>
          </cell>
        </row>
        <row r="218">
          <cell r="A218">
            <v>78780</v>
          </cell>
          <cell r="B218" t="str">
            <v>Эмаль ПФ-115 КМ красная 10 кг</v>
          </cell>
          <cell r="C218" t="str">
            <v/>
          </cell>
          <cell r="D218">
            <v>0</v>
          </cell>
          <cell r="E218">
            <v>10</v>
          </cell>
          <cell r="F218">
            <v>660</v>
          </cell>
          <cell r="G218">
            <v>350</v>
          </cell>
          <cell r="H218">
            <v>1790</v>
          </cell>
          <cell r="I218">
            <v>1020</v>
          </cell>
          <cell r="J218">
            <v>2420</v>
          </cell>
          <cell r="K218">
            <v>2320</v>
          </cell>
          <cell r="L218">
            <v>1610</v>
          </cell>
          <cell r="M218">
            <v>690</v>
          </cell>
          <cell r="N218">
            <v>790</v>
          </cell>
          <cell r="O218">
            <v>1160</v>
          </cell>
          <cell r="P218">
            <v>1270</v>
          </cell>
          <cell r="Q218">
            <v>1210</v>
          </cell>
          <cell r="R218">
            <v>400</v>
          </cell>
          <cell r="S218">
            <v>850</v>
          </cell>
          <cell r="T218">
            <v>1460</v>
          </cell>
          <cell r="U218">
            <v>1650</v>
          </cell>
          <cell r="V218">
            <v>3200</v>
          </cell>
          <cell r="W218">
            <v>960</v>
          </cell>
          <cell r="X218">
            <v>1490</v>
          </cell>
          <cell r="Y218">
            <v>880</v>
          </cell>
          <cell r="Z218">
            <v>1070</v>
          </cell>
          <cell r="AA218">
            <v>680</v>
          </cell>
          <cell r="AB218">
            <v>1330</v>
          </cell>
          <cell r="AC218">
            <v>630</v>
          </cell>
          <cell r="AD218">
            <v>260</v>
          </cell>
          <cell r="AE218">
            <v>150</v>
          </cell>
          <cell r="AF218">
            <v>180</v>
          </cell>
          <cell r="AG218">
            <v>270</v>
          </cell>
          <cell r="AH218">
            <v>1730</v>
          </cell>
          <cell r="AI218">
            <v>1660</v>
          </cell>
          <cell r="AJ218">
            <v>340</v>
          </cell>
          <cell r="AK218">
            <v>0</v>
          </cell>
          <cell r="AL218">
            <v>0</v>
          </cell>
          <cell r="AM218">
            <v>0.81490384615384615</v>
          </cell>
          <cell r="AN218">
            <v>1214.2067307692307</v>
          </cell>
          <cell r="AO218">
            <v>850</v>
          </cell>
          <cell r="AP218">
            <v>660.38938053097343</v>
          </cell>
          <cell r="AQ218">
            <v>1018.7137048552978</v>
          </cell>
        </row>
        <row r="219">
          <cell r="A219">
            <v>78782</v>
          </cell>
          <cell r="B219" t="str">
            <v>Эмаль ПФ-115 КМ коричневая 0.9 кг</v>
          </cell>
          <cell r="C219" t="str">
            <v/>
          </cell>
          <cell r="D219">
            <v>0</v>
          </cell>
          <cell r="E219">
            <v>0.9</v>
          </cell>
          <cell r="F219">
            <v>37.799999999999997</v>
          </cell>
          <cell r="G219">
            <v>63</v>
          </cell>
          <cell r="H219">
            <v>0</v>
          </cell>
          <cell r="I219">
            <v>63</v>
          </cell>
          <cell r="J219">
            <v>88.2</v>
          </cell>
          <cell r="K219">
            <v>352.8</v>
          </cell>
          <cell r="L219">
            <v>239.4</v>
          </cell>
          <cell r="M219">
            <v>264.60000000000002</v>
          </cell>
          <cell r="N219">
            <v>214.2</v>
          </cell>
          <cell r="O219">
            <v>239.4</v>
          </cell>
          <cell r="P219">
            <v>100.8</v>
          </cell>
          <cell r="Q219">
            <v>100.8</v>
          </cell>
          <cell r="R219">
            <v>75.599999999999994</v>
          </cell>
          <cell r="S219">
            <v>75.599999999999994</v>
          </cell>
          <cell r="T219">
            <v>63</v>
          </cell>
          <cell r="U219">
            <v>50.4</v>
          </cell>
          <cell r="V219">
            <v>100.8</v>
          </cell>
          <cell r="W219">
            <v>189</v>
          </cell>
          <cell r="X219">
            <v>189</v>
          </cell>
          <cell r="Y219">
            <v>239.4</v>
          </cell>
          <cell r="Z219">
            <v>226.8</v>
          </cell>
          <cell r="AA219">
            <v>239.4</v>
          </cell>
          <cell r="AB219">
            <v>100.8</v>
          </cell>
          <cell r="AC219">
            <v>88.2</v>
          </cell>
          <cell r="AD219">
            <v>50.4</v>
          </cell>
          <cell r="AE219">
            <v>50.4</v>
          </cell>
          <cell r="AF219">
            <v>12.6</v>
          </cell>
          <cell r="AG219">
            <v>25.2</v>
          </cell>
          <cell r="AH219">
            <v>75.599999999999994</v>
          </cell>
          <cell r="AI219">
            <v>189</v>
          </cell>
          <cell r="AJ219">
            <v>151.19999999999999</v>
          </cell>
          <cell r="AK219">
            <v>0</v>
          </cell>
          <cell r="AL219">
            <v>0</v>
          </cell>
          <cell r="AM219">
            <v>0.91304347826086962</v>
          </cell>
          <cell r="AN219">
            <v>172.56521739130437</v>
          </cell>
          <cell r="AO219">
            <v>378</v>
          </cell>
          <cell r="AP219">
            <v>321.3</v>
          </cell>
          <cell r="AQ219">
            <v>326.31428571428569</v>
          </cell>
        </row>
        <row r="220">
          <cell r="A220">
            <v>78783</v>
          </cell>
          <cell r="B220" t="str">
            <v>Эмаль ПФ-115 КМ коричневая 1.9 кг</v>
          </cell>
          <cell r="C220" t="str">
            <v/>
          </cell>
          <cell r="D220">
            <v>0</v>
          </cell>
          <cell r="E220">
            <v>1.9</v>
          </cell>
          <cell r="F220">
            <v>45.6</v>
          </cell>
          <cell r="G220">
            <v>79.8</v>
          </cell>
          <cell r="H220">
            <v>159.6</v>
          </cell>
          <cell r="I220">
            <v>581.4</v>
          </cell>
          <cell r="J220">
            <v>1242.5999999999999</v>
          </cell>
          <cell r="K220">
            <v>1846.8</v>
          </cell>
          <cell r="L220">
            <v>604.20000000000005</v>
          </cell>
          <cell r="M220">
            <v>1083</v>
          </cell>
          <cell r="N220">
            <v>718.2</v>
          </cell>
          <cell r="O220">
            <v>684</v>
          </cell>
          <cell r="P220">
            <v>581.4</v>
          </cell>
          <cell r="Q220">
            <v>57</v>
          </cell>
          <cell r="R220">
            <v>79.8</v>
          </cell>
          <cell r="S220">
            <v>125.4</v>
          </cell>
          <cell r="T220">
            <v>57</v>
          </cell>
          <cell r="U220">
            <v>1231.2</v>
          </cell>
          <cell r="V220">
            <v>1140</v>
          </cell>
          <cell r="W220">
            <v>1653</v>
          </cell>
          <cell r="X220">
            <v>581.4</v>
          </cell>
          <cell r="Y220">
            <v>273.60000000000002</v>
          </cell>
          <cell r="Z220">
            <v>296.39999999999998</v>
          </cell>
          <cell r="AA220">
            <v>296.39999999999998</v>
          </cell>
          <cell r="AB220">
            <v>456</v>
          </cell>
          <cell r="AC220">
            <v>171</v>
          </cell>
          <cell r="AD220">
            <v>102.6</v>
          </cell>
          <cell r="AE220">
            <v>136.80000000000001</v>
          </cell>
          <cell r="AF220">
            <v>22.8</v>
          </cell>
          <cell r="AG220">
            <v>1368</v>
          </cell>
          <cell r="AH220">
            <v>558.6</v>
          </cell>
          <cell r="AI220">
            <v>1413.6</v>
          </cell>
          <cell r="AJ220">
            <v>399</v>
          </cell>
          <cell r="AK220">
            <v>0</v>
          </cell>
          <cell r="AL220">
            <v>0</v>
          </cell>
          <cell r="AM220">
            <v>0.70612244897959175</v>
          </cell>
          <cell r="AN220">
            <v>410.53959183673464</v>
          </cell>
          <cell r="AO220">
            <v>997.5</v>
          </cell>
          <cell r="AP220">
            <v>240.7864864864865</v>
          </cell>
          <cell r="AQ220">
            <v>313.40476658476649</v>
          </cell>
        </row>
        <row r="221">
          <cell r="A221">
            <v>78784</v>
          </cell>
          <cell r="B221" t="str">
            <v>Эмаль ПФ-115 КМ коричневая 10 кг</v>
          </cell>
          <cell r="C221" t="str">
            <v/>
          </cell>
          <cell r="D221">
            <v>0</v>
          </cell>
          <cell r="E221">
            <v>10</v>
          </cell>
          <cell r="F221">
            <v>160</v>
          </cell>
          <cell r="G221">
            <v>330</v>
          </cell>
          <cell r="H221">
            <v>660</v>
          </cell>
          <cell r="I221">
            <v>320</v>
          </cell>
          <cell r="J221">
            <v>1890</v>
          </cell>
          <cell r="K221">
            <v>2500</v>
          </cell>
          <cell r="L221">
            <v>1770</v>
          </cell>
          <cell r="M221">
            <v>2100</v>
          </cell>
          <cell r="N221">
            <v>2120</v>
          </cell>
          <cell r="O221">
            <v>2150</v>
          </cell>
          <cell r="P221">
            <v>1070</v>
          </cell>
          <cell r="Q221">
            <v>700</v>
          </cell>
          <cell r="R221">
            <v>690</v>
          </cell>
          <cell r="S221">
            <v>950</v>
          </cell>
          <cell r="T221">
            <v>710</v>
          </cell>
          <cell r="U221">
            <v>1330</v>
          </cell>
          <cell r="V221">
            <v>3230</v>
          </cell>
          <cell r="W221">
            <v>1920</v>
          </cell>
          <cell r="X221">
            <v>2230</v>
          </cell>
          <cell r="Y221">
            <v>2300</v>
          </cell>
          <cell r="Z221">
            <v>1690</v>
          </cell>
          <cell r="AA221">
            <v>1580</v>
          </cell>
          <cell r="AB221">
            <v>1630</v>
          </cell>
          <cell r="AC221">
            <v>530</v>
          </cell>
          <cell r="AD221">
            <v>440</v>
          </cell>
          <cell r="AE221">
            <v>400</v>
          </cell>
          <cell r="AF221">
            <v>300</v>
          </cell>
          <cell r="AG221">
            <v>610</v>
          </cell>
          <cell r="AH221">
            <v>2070</v>
          </cell>
          <cell r="AI221">
            <v>2360</v>
          </cell>
          <cell r="AJ221">
            <v>1470</v>
          </cell>
          <cell r="AK221">
            <v>0</v>
          </cell>
          <cell r="AL221">
            <v>0</v>
          </cell>
          <cell r="AM221">
            <v>0.86019417475728155</v>
          </cell>
          <cell r="AN221">
            <v>1918.2330097087379</v>
          </cell>
          <cell r="AO221">
            <v>3675</v>
          </cell>
          <cell r="AP221">
            <v>2525.9485094850952</v>
          </cell>
          <cell r="AQ221">
            <v>2243.1012373689628</v>
          </cell>
        </row>
        <row r="222">
          <cell r="A222">
            <v>78786</v>
          </cell>
          <cell r="B222" t="str">
            <v>Эмаль ПФ-115 КМ синяя 0.9 кг</v>
          </cell>
          <cell r="C222" t="str">
            <v/>
          </cell>
          <cell r="D222">
            <v>0</v>
          </cell>
          <cell r="E222">
            <v>0.9</v>
          </cell>
          <cell r="F222">
            <v>50.4</v>
          </cell>
          <cell r="G222">
            <v>37.799999999999997</v>
          </cell>
          <cell r="H222">
            <v>12.6</v>
          </cell>
          <cell r="I222">
            <v>37.799999999999997</v>
          </cell>
          <cell r="J222">
            <v>63</v>
          </cell>
          <cell r="K222">
            <v>201.6</v>
          </cell>
          <cell r="L222">
            <v>151.19999999999999</v>
          </cell>
          <cell r="M222">
            <v>151.19999999999999</v>
          </cell>
          <cell r="N222">
            <v>88.2</v>
          </cell>
          <cell r="O222">
            <v>113.4</v>
          </cell>
          <cell r="P222">
            <v>37.799999999999997</v>
          </cell>
          <cell r="Q222">
            <v>88.2</v>
          </cell>
          <cell r="R222">
            <v>88.2</v>
          </cell>
          <cell r="S222">
            <v>113.4</v>
          </cell>
          <cell r="T222">
            <v>25.2</v>
          </cell>
          <cell r="U222">
            <v>25.2</v>
          </cell>
          <cell r="V222">
            <v>176.4</v>
          </cell>
          <cell r="W222">
            <v>163.80000000000001</v>
          </cell>
          <cell r="X222">
            <v>138.6</v>
          </cell>
          <cell r="Y222">
            <v>138.6</v>
          </cell>
          <cell r="Z222">
            <v>163.80000000000001</v>
          </cell>
          <cell r="AA222">
            <v>113.4</v>
          </cell>
          <cell r="AB222">
            <v>100.8</v>
          </cell>
          <cell r="AC222">
            <v>37.799999999999997</v>
          </cell>
          <cell r="AD222">
            <v>50.4</v>
          </cell>
          <cell r="AE222">
            <v>12.6</v>
          </cell>
          <cell r="AF222">
            <v>12.6</v>
          </cell>
          <cell r="AG222">
            <v>25.2</v>
          </cell>
          <cell r="AH222">
            <v>201.6</v>
          </cell>
          <cell r="AI222">
            <v>189</v>
          </cell>
          <cell r="AJ222">
            <v>63</v>
          </cell>
          <cell r="AK222">
            <v>0</v>
          </cell>
          <cell r="AL222">
            <v>0</v>
          </cell>
          <cell r="AM222">
            <v>1.1481481481481481</v>
          </cell>
          <cell r="AN222">
            <v>159.13333333333333</v>
          </cell>
          <cell r="AO222">
            <v>157.5</v>
          </cell>
          <cell r="AP222">
            <v>158.6605263157895</v>
          </cell>
          <cell r="AQ222">
            <v>187.63105263157897</v>
          </cell>
        </row>
        <row r="223">
          <cell r="A223">
            <v>78787</v>
          </cell>
          <cell r="B223" t="str">
            <v>Эмаль ПФ-115 КМ синяя 1.9 кг</v>
          </cell>
          <cell r="C223" t="str">
            <v/>
          </cell>
          <cell r="D223">
            <v>0</v>
          </cell>
          <cell r="E223">
            <v>1.9</v>
          </cell>
          <cell r="F223">
            <v>193.8</v>
          </cell>
          <cell r="G223">
            <v>102.6</v>
          </cell>
          <cell r="H223">
            <v>228</v>
          </cell>
          <cell r="I223">
            <v>501.6</v>
          </cell>
          <cell r="J223">
            <v>1071.5999999999999</v>
          </cell>
          <cell r="K223">
            <v>1060.2</v>
          </cell>
          <cell r="L223">
            <v>604.20000000000005</v>
          </cell>
          <cell r="M223">
            <v>79.8</v>
          </cell>
          <cell r="N223">
            <v>114</v>
          </cell>
          <cell r="O223">
            <v>57</v>
          </cell>
          <cell r="P223">
            <v>57</v>
          </cell>
          <cell r="Q223">
            <v>433.2</v>
          </cell>
          <cell r="R223">
            <v>22.8</v>
          </cell>
          <cell r="S223">
            <v>45.6</v>
          </cell>
          <cell r="T223">
            <v>22.8</v>
          </cell>
          <cell r="U223">
            <v>1299.5999999999999</v>
          </cell>
          <cell r="V223">
            <v>980.4</v>
          </cell>
          <cell r="W223">
            <v>592.79999999999995</v>
          </cell>
          <cell r="X223">
            <v>239.4</v>
          </cell>
          <cell r="Y223">
            <v>570</v>
          </cell>
          <cell r="Z223">
            <v>125.4</v>
          </cell>
          <cell r="AA223">
            <v>159.6</v>
          </cell>
          <cell r="AB223">
            <v>171</v>
          </cell>
          <cell r="AC223">
            <v>148.19999999999999</v>
          </cell>
          <cell r="AD223">
            <v>45.6</v>
          </cell>
          <cell r="AE223">
            <v>68.400000000000006</v>
          </cell>
          <cell r="AF223">
            <v>45.6</v>
          </cell>
          <cell r="AG223">
            <v>752.4</v>
          </cell>
          <cell r="AH223">
            <v>1185.5999999999999</v>
          </cell>
          <cell r="AI223">
            <v>763.8</v>
          </cell>
          <cell r="AJ223">
            <v>205.2</v>
          </cell>
          <cell r="AK223">
            <v>0</v>
          </cell>
          <cell r="AL223">
            <v>0</v>
          </cell>
          <cell r="AM223">
            <v>1.2391304347826086</v>
          </cell>
          <cell r="AN223">
            <v>296.64782608695651</v>
          </cell>
          <cell r="AO223">
            <v>513</v>
          </cell>
          <cell r="AP223">
            <v>774.33962264150944</v>
          </cell>
          <cell r="AQ223">
            <v>183.43525080533826</v>
          </cell>
        </row>
        <row r="224">
          <cell r="A224">
            <v>78788</v>
          </cell>
          <cell r="B224" t="str">
            <v>Эмаль ПФ-115 КМ синяя 10 кг</v>
          </cell>
          <cell r="C224" t="str">
            <v/>
          </cell>
          <cell r="D224">
            <v>0</v>
          </cell>
          <cell r="E224">
            <v>10</v>
          </cell>
          <cell r="F224">
            <v>140</v>
          </cell>
          <cell r="G224">
            <v>150</v>
          </cell>
          <cell r="H224">
            <v>360</v>
          </cell>
          <cell r="I224">
            <v>350</v>
          </cell>
          <cell r="J224">
            <v>1950</v>
          </cell>
          <cell r="K224">
            <v>1150</v>
          </cell>
          <cell r="L224">
            <v>1180</v>
          </cell>
          <cell r="M224">
            <v>860</v>
          </cell>
          <cell r="N224">
            <v>880</v>
          </cell>
          <cell r="O224">
            <v>640</v>
          </cell>
          <cell r="P224">
            <v>820</v>
          </cell>
          <cell r="Q224">
            <v>320</v>
          </cell>
          <cell r="R224">
            <v>90</v>
          </cell>
          <cell r="S224">
            <v>490</v>
          </cell>
          <cell r="T224">
            <v>230</v>
          </cell>
          <cell r="U224">
            <v>570</v>
          </cell>
          <cell r="V224">
            <v>1240</v>
          </cell>
          <cell r="W224">
            <v>920</v>
          </cell>
          <cell r="X224">
            <v>1030</v>
          </cell>
          <cell r="Y224">
            <v>970</v>
          </cell>
          <cell r="Z224">
            <v>530</v>
          </cell>
          <cell r="AA224">
            <v>750</v>
          </cell>
          <cell r="AB224">
            <v>560</v>
          </cell>
          <cell r="AC224">
            <v>290</v>
          </cell>
          <cell r="AD224">
            <v>120</v>
          </cell>
          <cell r="AE224">
            <v>370</v>
          </cell>
          <cell r="AF224">
            <v>80</v>
          </cell>
          <cell r="AG224">
            <v>190</v>
          </cell>
          <cell r="AH224">
            <v>960</v>
          </cell>
          <cell r="AI224">
            <v>1390</v>
          </cell>
          <cell r="AJ224">
            <v>230</v>
          </cell>
          <cell r="AK224">
            <v>0</v>
          </cell>
          <cell r="AL224">
            <v>0</v>
          </cell>
          <cell r="AM224">
            <v>1.087962962962963</v>
          </cell>
          <cell r="AN224">
            <v>1120.601851851852</v>
          </cell>
          <cell r="AO224">
            <v>575</v>
          </cell>
          <cell r="AP224">
            <v>889.42006269592468</v>
          </cell>
          <cell r="AQ224">
            <v>518.09679220165754</v>
          </cell>
        </row>
        <row r="225">
          <cell r="A225">
            <v>87397</v>
          </cell>
          <cell r="B225" t="str">
            <v>Грунт-эмаль "РАСЦВЕТ" 3 в 1 База А белая 0.8 кг</v>
          </cell>
          <cell r="C225" t="str">
            <v/>
          </cell>
          <cell r="D225">
            <v>0</v>
          </cell>
          <cell r="E225">
            <v>0.8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44.8</v>
          </cell>
          <cell r="Z225">
            <v>44.8</v>
          </cell>
          <cell r="AA225">
            <v>0</v>
          </cell>
          <cell r="AB225">
            <v>56</v>
          </cell>
          <cell r="AC225">
            <v>22.4</v>
          </cell>
          <cell r="AD225">
            <v>0</v>
          </cell>
          <cell r="AE225">
            <v>22.4</v>
          </cell>
          <cell r="AF225">
            <v>0</v>
          </cell>
          <cell r="AG225">
            <v>11.2</v>
          </cell>
          <cell r="AH225">
            <v>11.2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 t="e">
            <v>#DIV/0!</v>
          </cell>
          <cell r="AN225" t="e">
            <v>#DIV/0!</v>
          </cell>
          <cell r="AO225">
            <v>0</v>
          </cell>
          <cell r="AP225">
            <v>0</v>
          </cell>
          <cell r="AQ225">
            <v>0</v>
          </cell>
        </row>
        <row r="226">
          <cell r="A226">
            <v>87398</v>
          </cell>
          <cell r="B226" t="str">
            <v>Грунт-эмаль "РАСЦВЕТ" 3 в 1 База А белая 2.7 кг</v>
          </cell>
          <cell r="C226" t="str">
            <v/>
          </cell>
          <cell r="D226">
            <v>0</v>
          </cell>
          <cell r="E226">
            <v>2.7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64.8</v>
          </cell>
          <cell r="Z226">
            <v>64.8</v>
          </cell>
          <cell r="AA226">
            <v>0</v>
          </cell>
          <cell r="AB226">
            <v>97.2</v>
          </cell>
          <cell r="AC226">
            <v>16.2</v>
          </cell>
          <cell r="AD226">
            <v>0</v>
          </cell>
          <cell r="AE226">
            <v>48.6</v>
          </cell>
          <cell r="AF226">
            <v>0</v>
          </cell>
          <cell r="AG226">
            <v>16.2</v>
          </cell>
          <cell r="AH226">
            <v>32.4</v>
          </cell>
          <cell r="AI226">
            <v>16.2</v>
          </cell>
          <cell r="AJ226">
            <v>0</v>
          </cell>
          <cell r="AK226">
            <v>0</v>
          </cell>
          <cell r="AL226">
            <v>0</v>
          </cell>
          <cell r="AM226" t="e">
            <v>#DIV/0!</v>
          </cell>
          <cell r="AN226" t="e">
            <v>#DIV/0!</v>
          </cell>
          <cell r="AO226">
            <v>0</v>
          </cell>
          <cell r="AP226">
            <v>0</v>
          </cell>
          <cell r="AQ226">
            <v>16.2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6"/>
  <sheetViews>
    <sheetView tabSelected="1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AH19" sqref="AH19"/>
    </sheetView>
  </sheetViews>
  <sheetFormatPr defaultRowHeight="11.25" outlineLevelRow="1" x14ac:dyDescent="0.2"/>
  <cols>
    <col min="1" max="1" width="6.42578125" style="1" hidden="1" customWidth="1"/>
    <col min="2" max="2" width="59.7109375" style="3" hidden="1" customWidth="1"/>
    <col min="3" max="3" width="12.140625" style="1" hidden="1" customWidth="1"/>
    <col min="4" max="4" width="24.5703125" style="3" hidden="1" customWidth="1"/>
    <col min="5" max="15" width="12.85546875" style="3" hidden="1" customWidth="1"/>
    <col min="16" max="16" width="0" style="3" hidden="1" customWidth="1"/>
    <col min="17" max="17" width="5.5703125" style="1" customWidth="1"/>
    <col min="18" max="18" width="42.140625" style="3" customWidth="1"/>
    <col min="19" max="19" width="9.140625" style="3"/>
    <col min="20" max="22" width="11" style="3" customWidth="1"/>
    <col min="23" max="25" width="9.140625" style="4"/>
    <col min="26" max="28" width="9.140625" style="33"/>
    <col min="29" max="29" width="9.140625" style="3"/>
    <col min="30" max="32" width="9.140625" style="33"/>
    <col min="33" max="16384" width="9.140625" style="3"/>
  </cols>
  <sheetData>
    <row r="1" spans="1:32" ht="18.75" customHeight="1" x14ac:dyDescent="0.2">
      <c r="B1" s="2" t="s">
        <v>0</v>
      </c>
      <c r="R1" s="2" t="s">
        <v>0</v>
      </c>
      <c r="S1" s="1"/>
      <c r="Z1" s="38">
        <v>46157</v>
      </c>
      <c r="AA1" s="39"/>
      <c r="AB1" s="39"/>
      <c r="AD1" s="38">
        <v>46188</v>
      </c>
      <c r="AE1" s="39"/>
      <c r="AF1" s="39"/>
    </row>
    <row r="2" spans="1:32" ht="21" customHeight="1" x14ac:dyDescent="0.2">
      <c r="A2" s="5" t="s">
        <v>1</v>
      </c>
      <c r="B2" s="6" t="s">
        <v>2</v>
      </c>
      <c r="C2" s="5" t="s">
        <v>3</v>
      </c>
      <c r="D2" s="6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R2" s="6" t="s">
        <v>2</v>
      </c>
      <c r="S2" s="5" t="s">
        <v>3</v>
      </c>
      <c r="T2" s="7" t="s">
        <v>7</v>
      </c>
      <c r="U2" s="7" t="s">
        <v>8</v>
      </c>
      <c r="V2" s="7" t="s">
        <v>9</v>
      </c>
      <c r="W2" s="8" t="s">
        <v>8</v>
      </c>
      <c r="X2" s="8" t="s">
        <v>9</v>
      </c>
      <c r="Y2" s="8" t="s">
        <v>10</v>
      </c>
      <c r="Z2" s="9" t="s">
        <v>9</v>
      </c>
      <c r="AA2" s="9" t="s">
        <v>10</v>
      </c>
      <c r="AB2" s="9" t="s">
        <v>11</v>
      </c>
      <c r="AD2" s="9" t="s">
        <v>10</v>
      </c>
      <c r="AE2" s="9" t="s">
        <v>11</v>
      </c>
      <c r="AF2" s="9" t="s">
        <v>12</v>
      </c>
    </row>
    <row r="3" spans="1:32" s="14" customFormat="1" ht="12" customHeight="1" outlineLevel="1" x14ac:dyDescent="0.25">
      <c r="A3" s="10">
        <v>10</v>
      </c>
      <c r="B3" s="11" t="s">
        <v>16</v>
      </c>
      <c r="C3" s="10">
        <v>5825</v>
      </c>
      <c r="D3" s="12" t="s">
        <v>17</v>
      </c>
      <c r="E3" s="13">
        <v>0</v>
      </c>
      <c r="F3" s="13">
        <v>320</v>
      </c>
      <c r="G3" s="13">
        <v>158.29273784950269</v>
      </c>
      <c r="H3" s="13">
        <v>318.22674892836829</v>
      </c>
      <c r="I3" s="13">
        <v>578</v>
      </c>
      <c r="J3" s="13">
        <v>252</v>
      </c>
      <c r="K3" s="13">
        <v>531.88236511839</v>
      </c>
      <c r="L3" s="13">
        <v>936.2</v>
      </c>
      <c r="M3" s="13">
        <v>308</v>
      </c>
      <c r="N3" s="13">
        <v>373.31277114634423</v>
      </c>
      <c r="O3" s="13">
        <v>40</v>
      </c>
      <c r="Q3" s="15">
        <v>1</v>
      </c>
      <c r="R3" s="16" t="s">
        <v>18</v>
      </c>
      <c r="S3" s="12">
        <v>71304</v>
      </c>
      <c r="T3" s="17">
        <v>250</v>
      </c>
      <c r="U3" s="17">
        <v>1000</v>
      </c>
      <c r="V3" s="17">
        <v>671.09202453987723</v>
      </c>
      <c r="W3" s="18">
        <v>510</v>
      </c>
      <c r="X3" s="18">
        <v>425.59509202453989</v>
      </c>
      <c r="Y3" s="18">
        <v>340.51027363910799</v>
      </c>
      <c r="Z3" s="19">
        <v>500</v>
      </c>
      <c r="AA3" s="19">
        <v>1200</v>
      </c>
      <c r="AB3" s="19">
        <v>311.3580512896865</v>
      </c>
      <c r="AC3" s="20">
        <v>174.40490797546011</v>
      </c>
      <c r="AD3" s="19">
        <v>1200</v>
      </c>
      <c r="AE3" s="19">
        <v>1440</v>
      </c>
      <c r="AF3" s="19">
        <f>VLOOKUP(S3,'[1]без тендера 15.06.2026'!$A$168:$AQ$227,43,0)</f>
        <v>897.42247134399793</v>
      </c>
    </row>
    <row r="4" spans="1:32" s="14" customFormat="1" ht="12" customHeight="1" outlineLevel="1" x14ac:dyDescent="0.25">
      <c r="A4" s="10">
        <v>11</v>
      </c>
      <c r="B4" s="11" t="s">
        <v>19</v>
      </c>
      <c r="C4" s="10">
        <v>68956</v>
      </c>
      <c r="D4" s="12" t="s">
        <v>17</v>
      </c>
      <c r="E4" s="13">
        <v>252</v>
      </c>
      <c r="F4" s="13">
        <v>324</v>
      </c>
      <c r="G4" s="13">
        <v>201.48404203415268</v>
      </c>
      <c r="H4" s="13">
        <v>494.04702771129183</v>
      </c>
      <c r="I4" s="13">
        <v>385.56</v>
      </c>
      <c r="J4" s="13">
        <v>437.40000000000003</v>
      </c>
      <c r="K4" s="13">
        <v>516.98965889507519</v>
      </c>
      <c r="L4" s="13">
        <v>366.93</v>
      </c>
      <c r="M4" s="13">
        <v>498.96000000000009</v>
      </c>
      <c r="N4" s="13">
        <v>264.58542654997149</v>
      </c>
      <c r="O4" s="13">
        <v>226.8</v>
      </c>
      <c r="Q4" s="15">
        <v>2</v>
      </c>
      <c r="R4" s="21" t="s">
        <v>20</v>
      </c>
      <c r="S4" s="12">
        <v>71305</v>
      </c>
      <c r="T4" s="17">
        <v>1500</v>
      </c>
      <c r="U4" s="17">
        <v>1853.500447627574</v>
      </c>
      <c r="V4" s="17">
        <v>1710.365535067702</v>
      </c>
      <c r="W4" s="18">
        <v>3090</v>
      </c>
      <c r="X4" s="18">
        <v>2387.1142433234422</v>
      </c>
      <c r="Y4" s="18">
        <v>1602.7848201942375</v>
      </c>
      <c r="Z4" s="19">
        <v>3700</v>
      </c>
      <c r="AA4" s="19">
        <v>4500</v>
      </c>
      <c r="AB4" s="19">
        <v>2174.2699918562894</v>
      </c>
      <c r="AC4" s="22">
        <v>1312.8857566765578</v>
      </c>
      <c r="AD4" s="19">
        <v>3000</v>
      </c>
      <c r="AE4" s="19">
        <v>4500</v>
      </c>
      <c r="AF4" s="19">
        <v>2000</v>
      </c>
    </row>
    <row r="5" spans="1:32" s="14" customFormat="1" ht="12" customHeight="1" outlineLevel="1" x14ac:dyDescent="0.25">
      <c r="A5" s="10">
        <v>12</v>
      </c>
      <c r="B5" s="11" t="s">
        <v>21</v>
      </c>
      <c r="C5" s="10">
        <v>5847</v>
      </c>
      <c r="D5" s="12" t="s">
        <v>22</v>
      </c>
      <c r="E5" s="13">
        <v>42</v>
      </c>
      <c r="F5" s="13">
        <v>648</v>
      </c>
      <c r="G5" s="13">
        <v>73.266924376055528</v>
      </c>
      <c r="H5" s="13">
        <v>236.28336107931347</v>
      </c>
      <c r="I5" s="13">
        <v>165.24</v>
      </c>
      <c r="J5" s="13">
        <v>145.80000000000001</v>
      </c>
      <c r="K5" s="13">
        <v>172.32988629835836</v>
      </c>
      <c r="L5" s="13">
        <v>122.31</v>
      </c>
      <c r="M5" s="13">
        <v>178.20000000000002</v>
      </c>
      <c r="N5" s="13">
        <v>138.59236628808029</v>
      </c>
      <c r="O5" s="13">
        <v>81</v>
      </c>
      <c r="Q5" s="15">
        <v>3</v>
      </c>
      <c r="R5" s="16" t="s">
        <v>23</v>
      </c>
      <c r="S5" s="12">
        <v>68954</v>
      </c>
      <c r="T5" s="17">
        <v>81</v>
      </c>
      <c r="U5" s="17">
        <v>126.35999999999999</v>
      </c>
      <c r="V5" s="17">
        <v>100.55571428571427</v>
      </c>
      <c r="W5" s="18">
        <v>81</v>
      </c>
      <c r="X5" s="18">
        <v>63.642857142857139</v>
      </c>
      <c r="Y5" s="18">
        <v>18.348979591836738</v>
      </c>
      <c r="Z5" s="19">
        <v>50</v>
      </c>
      <c r="AA5" s="19">
        <v>100</v>
      </c>
      <c r="AB5" s="19">
        <v>25.656650246305421</v>
      </c>
      <c r="AC5" s="20">
        <v>-13.642857142857139</v>
      </c>
      <c r="AD5" s="19">
        <v>100</v>
      </c>
      <c r="AE5" s="19">
        <v>180</v>
      </c>
      <c r="AF5" s="19">
        <f>VLOOKUP(S5,'[1]без тендера 15.06.2026'!$A$168:$AQ$227,43,0)</f>
        <v>76.676761619190401</v>
      </c>
    </row>
    <row r="6" spans="1:32" s="14" customFormat="1" ht="12" customHeight="1" outlineLevel="1" x14ac:dyDescent="0.25">
      <c r="A6" s="10">
        <v>13</v>
      </c>
      <c r="B6" s="11" t="s">
        <v>24</v>
      </c>
      <c r="C6" s="10">
        <v>67084</v>
      </c>
      <c r="D6" s="12" t="s">
        <v>22</v>
      </c>
      <c r="E6" s="13">
        <v>97</v>
      </c>
      <c r="F6" s="13">
        <v>291.60000000000002</v>
      </c>
      <c r="G6" s="13">
        <v>457.91827735034707</v>
      </c>
      <c r="H6" s="13">
        <v>1653.9835275551943</v>
      </c>
      <c r="I6" s="13">
        <v>605.88</v>
      </c>
      <c r="J6" s="13">
        <v>291.60000000000002</v>
      </c>
      <c r="K6" s="13">
        <v>603.15460204425437</v>
      </c>
      <c r="L6" s="13">
        <v>366.93</v>
      </c>
      <c r="M6" s="13">
        <v>962.28</v>
      </c>
      <c r="N6" s="13">
        <v>352.78056873329535</v>
      </c>
      <c r="O6" s="13">
        <v>356.4</v>
      </c>
      <c r="Q6" s="15">
        <v>4</v>
      </c>
      <c r="R6" s="21" t="s">
        <v>25</v>
      </c>
      <c r="S6" s="12">
        <v>68959</v>
      </c>
      <c r="T6" s="17">
        <v>25</v>
      </c>
      <c r="U6" s="17">
        <v>100</v>
      </c>
      <c r="V6" s="17">
        <v>20.408163265306122</v>
      </c>
      <c r="W6" s="18">
        <v>650</v>
      </c>
      <c r="X6" s="18">
        <v>109.38775510204081</v>
      </c>
      <c r="Y6" s="18">
        <v>97.77911164465786</v>
      </c>
      <c r="Z6" s="19">
        <v>200</v>
      </c>
      <c r="AA6" s="19">
        <v>200</v>
      </c>
      <c r="AB6" s="19">
        <v>374.91545189504376</v>
      </c>
      <c r="AC6" s="20">
        <v>140.61224489795919</v>
      </c>
      <c r="AD6" s="19">
        <v>100</v>
      </c>
      <c r="AE6" s="19">
        <v>360</v>
      </c>
      <c r="AF6" s="19">
        <f>VLOOKUP(S6,'[1]без тендера 15.06.2026'!$A$168:$AQ$227,43,0)</f>
        <v>482.7242524916943</v>
      </c>
    </row>
    <row r="7" spans="1:32" s="14" customFormat="1" ht="12" customHeight="1" outlineLevel="1" x14ac:dyDescent="0.25">
      <c r="A7" s="10">
        <v>14</v>
      </c>
      <c r="B7" s="11" t="s">
        <v>26</v>
      </c>
      <c r="C7" s="10">
        <v>68962</v>
      </c>
      <c r="D7" s="12" t="s">
        <v>17</v>
      </c>
      <c r="E7" s="13">
        <v>2080</v>
      </c>
      <c r="F7" s="13">
        <v>360</v>
      </c>
      <c r="G7" s="13">
        <v>2798</v>
      </c>
      <c r="H7" s="13">
        <v>1246.3880999694425</v>
      </c>
      <c r="I7" s="13">
        <v>1530</v>
      </c>
      <c r="J7" s="13">
        <v>1008</v>
      </c>
      <c r="K7" s="13">
        <v>1028.3059058955541</v>
      </c>
      <c r="L7" s="13">
        <v>15915.4</v>
      </c>
      <c r="M7" s="13">
        <v>1144</v>
      </c>
      <c r="N7" s="13">
        <v>1073.2742170457398</v>
      </c>
      <c r="O7" s="13">
        <v>1020</v>
      </c>
      <c r="Q7" s="15">
        <v>5</v>
      </c>
      <c r="R7" s="21" t="s">
        <v>27</v>
      </c>
      <c r="S7" s="12">
        <v>5767</v>
      </c>
      <c r="T7" s="17">
        <v>526.5</v>
      </c>
      <c r="U7" s="17">
        <v>769.17920792079212</v>
      </c>
      <c r="V7" s="17">
        <v>602.51168316831684</v>
      </c>
      <c r="W7" s="18">
        <v>931.49999999999989</v>
      </c>
      <c r="X7" s="18">
        <v>618.83999999999992</v>
      </c>
      <c r="Y7" s="18">
        <v>460.07999999999993</v>
      </c>
      <c r="Z7" s="19">
        <v>700</v>
      </c>
      <c r="AA7" s="19">
        <v>700</v>
      </c>
      <c r="AB7" s="19">
        <v>730.17818181818188</v>
      </c>
      <c r="AC7" s="20">
        <v>231.66000000000008</v>
      </c>
      <c r="AD7" s="19">
        <v>700</v>
      </c>
      <c r="AE7" s="19">
        <v>900</v>
      </c>
      <c r="AF7" s="19">
        <v>700</v>
      </c>
    </row>
    <row r="8" spans="1:32" s="14" customFormat="1" ht="12" customHeight="1" outlineLevel="1" x14ac:dyDescent="0.25">
      <c r="A8" s="10">
        <v>15</v>
      </c>
      <c r="B8" s="11" t="s">
        <v>28</v>
      </c>
      <c r="C8" s="10">
        <v>5859</v>
      </c>
      <c r="D8" s="12" t="s">
        <v>22</v>
      </c>
      <c r="E8" s="13">
        <v>32</v>
      </c>
      <c r="F8" s="13">
        <v>194.4</v>
      </c>
      <c r="G8" s="13">
        <v>164.85057984612496</v>
      </c>
      <c r="H8" s="13">
        <v>150.36213886865403</v>
      </c>
      <c r="I8" s="13">
        <v>1514.7</v>
      </c>
      <c r="J8" s="13">
        <v>204.12</v>
      </c>
      <c r="K8" s="13">
        <v>240.20493908572453</v>
      </c>
      <c r="L8" s="13">
        <v>97.847999999999999</v>
      </c>
      <c r="M8" s="13">
        <v>320.76000000000005</v>
      </c>
      <c r="N8" s="13">
        <v>214.18820244521498</v>
      </c>
      <c r="O8" s="13">
        <v>64.8</v>
      </c>
      <c r="Q8" s="15">
        <v>6</v>
      </c>
      <c r="R8" s="21" t="s">
        <v>29</v>
      </c>
      <c r="S8" s="12">
        <v>5768</v>
      </c>
      <c r="T8" s="17">
        <v>450</v>
      </c>
      <c r="U8" s="17">
        <v>854.34782608695662</v>
      </c>
      <c r="V8" s="17">
        <v>577.73913043478262</v>
      </c>
      <c r="W8" s="18">
        <v>700</v>
      </c>
      <c r="X8" s="18">
        <v>440</v>
      </c>
      <c r="Y8" s="18">
        <v>615.34883720930236</v>
      </c>
      <c r="Z8" s="19">
        <v>3000</v>
      </c>
      <c r="AA8" s="19">
        <v>2500</v>
      </c>
      <c r="AB8" s="19">
        <v>1940.7664061764428</v>
      </c>
      <c r="AC8" s="22">
        <v>3110</v>
      </c>
      <c r="AD8" s="19">
        <v>2500</v>
      </c>
      <c r="AE8" s="19">
        <v>3493.3795311175973</v>
      </c>
      <c r="AF8" s="19">
        <v>1300</v>
      </c>
    </row>
    <row r="9" spans="1:32" s="14" customFormat="1" ht="12" customHeight="1" outlineLevel="1" x14ac:dyDescent="0.25">
      <c r="A9" s="10">
        <v>16</v>
      </c>
      <c r="B9" s="11" t="s">
        <v>30</v>
      </c>
      <c r="C9" s="10">
        <v>69068</v>
      </c>
      <c r="D9" s="12" t="s">
        <v>22</v>
      </c>
      <c r="E9" s="13">
        <v>65</v>
      </c>
      <c r="F9" s="13">
        <v>162</v>
      </c>
      <c r="G9" s="13">
        <v>288</v>
      </c>
      <c r="H9" s="13">
        <v>1138.4561942912376</v>
      </c>
      <c r="I9" s="13">
        <v>660.96</v>
      </c>
      <c r="J9" s="13">
        <v>437.40000000000003</v>
      </c>
      <c r="K9" s="13">
        <v>172.32988629835836</v>
      </c>
      <c r="L9" s="13">
        <v>195.696</v>
      </c>
      <c r="M9" s="13">
        <v>677.16000000000008</v>
      </c>
      <c r="N9" s="13">
        <v>251.98612052378238</v>
      </c>
      <c r="O9" s="13">
        <v>178.2</v>
      </c>
      <c r="Q9" s="15">
        <v>7</v>
      </c>
      <c r="R9" s="21" t="s">
        <v>31</v>
      </c>
      <c r="S9" s="12">
        <v>5811</v>
      </c>
      <c r="T9" s="17">
        <v>40.5</v>
      </c>
      <c r="U9" s="17">
        <v>100</v>
      </c>
      <c r="V9" s="17">
        <v>126.45</v>
      </c>
      <c r="W9" s="18">
        <v>162</v>
      </c>
      <c r="X9" s="18">
        <v>189.54000000000002</v>
      </c>
      <c r="Y9" s="18">
        <v>67.319999999999993</v>
      </c>
      <c r="Z9" s="19">
        <v>283.5</v>
      </c>
      <c r="AA9" s="19">
        <v>200</v>
      </c>
      <c r="AB9" s="19">
        <v>119.85365853658536</v>
      </c>
      <c r="AC9" s="20">
        <v>93.95999999999998</v>
      </c>
      <c r="AD9" s="19">
        <v>200</v>
      </c>
      <c r="AE9" s="19">
        <v>215.73658536585364</v>
      </c>
      <c r="AF9" s="19">
        <v>100</v>
      </c>
    </row>
    <row r="10" spans="1:32" s="14" customFormat="1" ht="12" customHeight="1" outlineLevel="1" x14ac:dyDescent="0.25">
      <c r="A10" s="10">
        <v>17</v>
      </c>
      <c r="B10" s="11" t="s">
        <v>32</v>
      </c>
      <c r="C10" s="10">
        <v>69069</v>
      </c>
      <c r="D10" s="12" t="s">
        <v>17</v>
      </c>
      <c r="E10" s="13">
        <v>1273</v>
      </c>
      <c r="F10" s="13">
        <v>646</v>
      </c>
      <c r="G10" s="13">
        <v>819.73024957778171</v>
      </c>
      <c r="H10" s="13">
        <v>1219.869204225412</v>
      </c>
      <c r="I10" s="13">
        <v>1190</v>
      </c>
      <c r="J10" s="13">
        <v>1044</v>
      </c>
      <c r="K10" s="13">
        <v>1382.8941493078141</v>
      </c>
      <c r="L10" s="13">
        <v>604</v>
      </c>
      <c r="M10" s="13">
        <v>396.00000000000006</v>
      </c>
      <c r="N10" s="13">
        <v>1213.2665062256187</v>
      </c>
      <c r="O10" s="13">
        <v>1100</v>
      </c>
      <c r="Q10" s="15">
        <v>8</v>
      </c>
      <c r="R10" s="21" t="s">
        <v>33</v>
      </c>
      <c r="S10" s="12">
        <v>68953</v>
      </c>
      <c r="T10" s="17">
        <v>50</v>
      </c>
      <c r="U10" s="17">
        <v>100</v>
      </c>
      <c r="V10" s="17">
        <v>56.896551724137936</v>
      </c>
      <c r="W10" s="18">
        <v>50</v>
      </c>
      <c r="X10" s="18">
        <v>18.965517241379313</v>
      </c>
      <c r="Y10" s="18">
        <v>6.5398335315101086</v>
      </c>
      <c r="Z10" s="19">
        <v>150</v>
      </c>
      <c r="AA10" s="19">
        <v>50</v>
      </c>
      <c r="AB10" s="19">
        <v>15.003783374770293</v>
      </c>
      <c r="AC10" s="20">
        <v>131.0344827586207</v>
      </c>
      <c r="AD10" s="19">
        <v>150</v>
      </c>
      <c r="AE10" s="19">
        <v>180</v>
      </c>
      <c r="AF10" s="19">
        <f>VLOOKUP(S10,'[1]без тендера 15.06.2026'!$A$168:$AQ$227,43,0)</f>
        <v>98.299120234604089</v>
      </c>
    </row>
    <row r="11" spans="1:32" s="14" customFormat="1" ht="12" customHeight="1" outlineLevel="1" x14ac:dyDescent="0.25">
      <c r="A11" s="10">
        <v>18</v>
      </c>
      <c r="B11" s="11" t="s">
        <v>34</v>
      </c>
      <c r="C11" s="10">
        <v>5868</v>
      </c>
      <c r="D11" s="12" t="s">
        <v>22</v>
      </c>
      <c r="E11" s="13">
        <v>65</v>
      </c>
      <c r="F11" s="13">
        <v>648</v>
      </c>
      <c r="G11" s="13">
        <v>274.75096641020821</v>
      </c>
      <c r="H11" s="13">
        <v>386.64549994796744</v>
      </c>
      <c r="I11" s="13">
        <v>688.5</v>
      </c>
      <c r="J11" s="13">
        <v>495.71999999999997</v>
      </c>
      <c r="K11" s="13">
        <v>287.21647716393062</v>
      </c>
      <c r="L11" s="13">
        <v>146.77199999999999</v>
      </c>
      <c r="M11" s="13">
        <v>392.04000000000008</v>
      </c>
      <c r="N11" s="13">
        <v>251.98612052378238</v>
      </c>
      <c r="O11" s="13">
        <v>210.6</v>
      </c>
      <c r="Q11" s="15">
        <v>9</v>
      </c>
      <c r="R11" s="21" t="s">
        <v>35</v>
      </c>
      <c r="S11" s="12">
        <v>5824</v>
      </c>
      <c r="T11" s="17">
        <v>25</v>
      </c>
      <c r="U11" s="17">
        <v>66.909090909090907</v>
      </c>
      <c r="V11" s="17">
        <v>124.30909090909091</v>
      </c>
      <c r="W11" s="18">
        <v>0</v>
      </c>
      <c r="X11" s="18">
        <v>48.599999999999994</v>
      </c>
      <c r="Y11" s="18">
        <v>28.512</v>
      </c>
      <c r="Z11" s="19">
        <v>121.5</v>
      </c>
      <c r="AA11" s="19">
        <v>50</v>
      </c>
      <c r="AB11" s="19">
        <v>8.3858823529411772</v>
      </c>
      <c r="AC11" s="20">
        <v>72.900000000000006</v>
      </c>
      <c r="AD11" s="19">
        <v>100</v>
      </c>
      <c r="AE11" s="19">
        <v>180</v>
      </c>
      <c r="AF11" s="19">
        <f>VLOOKUP(S11,'[1]без тендера 15.06.2026'!$A$168:$AQ$227,43,0)</f>
        <v>123.32179930795849</v>
      </c>
    </row>
    <row r="12" spans="1:32" s="14" customFormat="1" ht="12" customHeight="1" outlineLevel="1" x14ac:dyDescent="0.25">
      <c r="A12" s="10">
        <v>19</v>
      </c>
      <c r="B12" s="11" t="s">
        <v>36</v>
      </c>
      <c r="C12" s="10">
        <v>6263</v>
      </c>
      <c r="D12" s="12" t="s">
        <v>22</v>
      </c>
      <c r="E12" s="13">
        <v>28</v>
      </c>
      <c r="F12" s="13">
        <v>14.208</v>
      </c>
      <c r="G12" s="13">
        <v>73.49305685869767</v>
      </c>
      <c r="H12" s="13">
        <v>357.94144719462867</v>
      </c>
      <c r="I12" s="13">
        <v>217.38240000000002</v>
      </c>
      <c r="J12" s="13">
        <v>242.95680000000002</v>
      </c>
      <c r="K12" s="13">
        <v>365.25425777410078</v>
      </c>
      <c r="L12" s="13">
        <v>107.27040000000001</v>
      </c>
      <c r="M12" s="13">
        <v>15.628800000000002</v>
      </c>
      <c r="N12" s="13">
        <v>11.05005802593179</v>
      </c>
      <c r="O12" s="13">
        <v>7.1040000000000001</v>
      </c>
      <c r="Q12" s="15">
        <v>10</v>
      </c>
      <c r="R12" s="21" t="s">
        <v>16</v>
      </c>
      <c r="S12" s="12">
        <v>5825</v>
      </c>
      <c r="T12" s="17">
        <v>100</v>
      </c>
      <c r="U12" s="17">
        <v>238.33333333333331</v>
      </c>
      <c r="V12" s="17">
        <v>176.55555555555554</v>
      </c>
      <c r="W12" s="18">
        <v>300</v>
      </c>
      <c r="X12" s="18">
        <v>177.33333333333334</v>
      </c>
      <c r="Y12" s="18">
        <v>77.847953216374279</v>
      </c>
      <c r="Z12" s="19">
        <v>300</v>
      </c>
      <c r="AA12" s="19">
        <v>150</v>
      </c>
      <c r="AB12" s="19">
        <v>162.92768959435625</v>
      </c>
      <c r="AC12" s="20">
        <v>172.66666666666666</v>
      </c>
      <c r="AD12" s="19">
        <v>150</v>
      </c>
      <c r="AE12" s="19">
        <v>293.26984126984127</v>
      </c>
      <c r="AF12" s="19">
        <v>150</v>
      </c>
    </row>
    <row r="13" spans="1:32" s="14" customFormat="1" ht="12" customHeight="1" outlineLevel="1" x14ac:dyDescent="0.25">
      <c r="A13" s="10">
        <v>20</v>
      </c>
      <c r="B13" s="11" t="s">
        <v>37</v>
      </c>
      <c r="C13" s="10">
        <v>7772</v>
      </c>
      <c r="D13" s="12" t="s">
        <v>22</v>
      </c>
      <c r="E13" s="13">
        <v>0</v>
      </c>
      <c r="F13" s="13">
        <v>60</v>
      </c>
      <c r="G13" s="13">
        <v>180</v>
      </c>
      <c r="H13" s="13">
        <v>1869.5821499541639</v>
      </c>
      <c r="I13" s="13">
        <v>1768</v>
      </c>
      <c r="J13" s="13">
        <v>684</v>
      </c>
      <c r="K13" s="13">
        <v>460.96471643593804</v>
      </c>
      <c r="L13" s="13">
        <v>453</v>
      </c>
      <c r="M13" s="13">
        <v>638</v>
      </c>
      <c r="N13" s="13">
        <v>132.21493978099693</v>
      </c>
      <c r="O13" s="13">
        <v>30</v>
      </c>
      <c r="Q13" s="15">
        <v>11</v>
      </c>
      <c r="R13" s="21" t="s">
        <v>19</v>
      </c>
      <c r="S13" s="12">
        <v>68956</v>
      </c>
      <c r="T13" s="17">
        <v>25</v>
      </c>
      <c r="U13" s="17">
        <v>200</v>
      </c>
      <c r="V13" s="17">
        <v>54.818181818181813</v>
      </c>
      <c r="W13" s="18">
        <v>688.5</v>
      </c>
      <c r="X13" s="18">
        <v>174.88636363636363</v>
      </c>
      <c r="Y13" s="18">
        <v>126.57761194029848</v>
      </c>
      <c r="Z13" s="19">
        <v>900</v>
      </c>
      <c r="AA13" s="19">
        <v>500</v>
      </c>
      <c r="AB13" s="19">
        <v>488.6377204884667</v>
      </c>
      <c r="AC13" s="22">
        <v>959.11363636363637</v>
      </c>
      <c r="AD13" s="19">
        <v>500</v>
      </c>
      <c r="AE13" s="19">
        <v>720</v>
      </c>
      <c r="AF13" s="19">
        <v>400</v>
      </c>
    </row>
    <row r="14" spans="1:32" s="14" customFormat="1" ht="12" customHeight="1" outlineLevel="1" x14ac:dyDescent="0.25">
      <c r="A14" s="10">
        <v>21</v>
      </c>
      <c r="B14" s="11" t="s">
        <v>38</v>
      </c>
      <c r="C14" s="10">
        <v>7773</v>
      </c>
      <c r="D14" s="12" t="s">
        <v>22</v>
      </c>
      <c r="E14" s="13">
        <v>26</v>
      </c>
      <c r="F14" s="13">
        <v>52</v>
      </c>
      <c r="G14" s="13">
        <v>280</v>
      </c>
      <c r="H14" s="13">
        <v>2148.0305552664863</v>
      </c>
      <c r="I14" s="13">
        <v>9452</v>
      </c>
      <c r="J14" s="13">
        <v>2124</v>
      </c>
      <c r="K14" s="13">
        <v>390.04706775348603</v>
      </c>
      <c r="L14" s="13">
        <v>2778.4</v>
      </c>
      <c r="M14" s="13">
        <v>1232</v>
      </c>
      <c r="N14" s="13">
        <v>217.76578316870081</v>
      </c>
      <c r="O14" s="13">
        <v>60</v>
      </c>
      <c r="Q14" s="15">
        <v>12</v>
      </c>
      <c r="R14" s="21" t="s">
        <v>21</v>
      </c>
      <c r="S14" s="12">
        <v>5847</v>
      </c>
      <c r="T14" s="17">
        <v>121.5</v>
      </c>
      <c r="U14" s="17">
        <v>150</v>
      </c>
      <c r="V14" s="17">
        <v>66.68421052631578</v>
      </c>
      <c r="W14" s="18">
        <v>0</v>
      </c>
      <c r="X14" s="18">
        <v>0</v>
      </c>
      <c r="Y14" s="18">
        <v>0</v>
      </c>
      <c r="Z14" s="19">
        <v>50</v>
      </c>
      <c r="AA14" s="19">
        <v>50</v>
      </c>
      <c r="AB14" s="19">
        <v>0</v>
      </c>
      <c r="AC14" s="20">
        <v>0</v>
      </c>
      <c r="AD14" s="19">
        <v>200</v>
      </c>
      <c r="AE14" s="19">
        <v>180</v>
      </c>
      <c r="AF14" s="19">
        <f>VLOOKUP(S14,'[1]без тендера 15.06.2026'!$A$168:$AQ$227,43,0)</f>
        <v>25.960029069767444</v>
      </c>
    </row>
    <row r="15" spans="1:32" s="14" customFormat="1" ht="12" customHeight="1" outlineLevel="1" x14ac:dyDescent="0.25">
      <c r="A15" s="10">
        <v>22</v>
      </c>
      <c r="B15" s="11" t="s">
        <v>39</v>
      </c>
      <c r="C15" s="10">
        <v>7777</v>
      </c>
      <c r="D15" s="12" t="s">
        <v>22</v>
      </c>
      <c r="E15" s="13">
        <v>26</v>
      </c>
      <c r="F15" s="13">
        <v>80</v>
      </c>
      <c r="G15" s="13">
        <v>100</v>
      </c>
      <c r="H15" s="13">
        <v>1325.9447872015346</v>
      </c>
      <c r="I15" s="13">
        <v>2448</v>
      </c>
      <c r="J15" s="13">
        <v>252</v>
      </c>
      <c r="K15" s="13">
        <v>425.50589209471207</v>
      </c>
      <c r="L15" s="13">
        <v>332.2</v>
      </c>
      <c r="M15" s="13">
        <v>132</v>
      </c>
      <c r="N15" s="13">
        <v>77.773493988821713</v>
      </c>
      <c r="O15" s="13">
        <v>380</v>
      </c>
      <c r="Q15" s="15">
        <v>13</v>
      </c>
      <c r="R15" s="21" t="s">
        <v>24</v>
      </c>
      <c r="S15" s="12">
        <v>67084</v>
      </c>
      <c r="T15" s="17">
        <v>350</v>
      </c>
      <c r="U15" s="17">
        <v>506.74716981132082</v>
      </c>
      <c r="V15" s="17">
        <v>214.16814769730172</v>
      </c>
      <c r="W15" s="18">
        <v>1019.5</v>
      </c>
      <c r="X15" s="18">
        <v>302.48817204301071</v>
      </c>
      <c r="Y15" s="18">
        <v>147.7598709677419</v>
      </c>
      <c r="Z15" s="19">
        <v>700</v>
      </c>
      <c r="AA15" s="19">
        <v>500</v>
      </c>
      <c r="AB15" s="19">
        <v>467.48322580645163</v>
      </c>
      <c r="AC15" s="22">
        <v>588.51182795698924</v>
      </c>
      <c r="AD15" s="19">
        <v>500</v>
      </c>
      <c r="AE15" s="19">
        <v>841.46980645161295</v>
      </c>
      <c r="AF15" s="19">
        <v>400</v>
      </c>
    </row>
    <row r="16" spans="1:32" s="14" customFormat="1" ht="12" customHeight="1" outlineLevel="1" x14ac:dyDescent="0.25">
      <c r="A16" s="10">
        <v>23</v>
      </c>
      <c r="B16" s="11" t="s">
        <v>40</v>
      </c>
      <c r="C16" s="10">
        <v>7780</v>
      </c>
      <c r="D16" s="12" t="s">
        <v>22</v>
      </c>
      <c r="E16" s="13">
        <v>52</v>
      </c>
      <c r="F16" s="13">
        <v>280</v>
      </c>
      <c r="G16" s="13">
        <v>587.94445486958136</v>
      </c>
      <c r="H16" s="13">
        <v>1538.0959531537801</v>
      </c>
      <c r="I16" s="13">
        <v>748</v>
      </c>
      <c r="J16" s="13">
        <v>648</v>
      </c>
      <c r="K16" s="13">
        <v>531.88236511839</v>
      </c>
      <c r="L16" s="13">
        <v>60.4</v>
      </c>
      <c r="M16" s="13">
        <v>176</v>
      </c>
      <c r="N16" s="13">
        <v>62.218795191057374</v>
      </c>
      <c r="O16" s="13">
        <v>440</v>
      </c>
      <c r="Q16" s="15">
        <v>14</v>
      </c>
      <c r="R16" s="21" t="s">
        <v>26</v>
      </c>
      <c r="S16" s="12">
        <v>68962</v>
      </c>
      <c r="T16" s="17">
        <v>550</v>
      </c>
      <c r="U16" s="17">
        <v>971.13924050632909</v>
      </c>
      <c r="V16" s="17">
        <v>595.05240234109158</v>
      </c>
      <c r="W16" s="18">
        <v>750</v>
      </c>
      <c r="X16" s="18">
        <v>440.32258064516128</v>
      </c>
      <c r="Y16" s="18">
        <v>247.36336976806183</v>
      </c>
      <c r="Z16" s="19">
        <v>2400</v>
      </c>
      <c r="AA16" s="19">
        <v>2200</v>
      </c>
      <c r="AB16" s="19">
        <v>1099.881631564916</v>
      </c>
      <c r="AC16" s="22">
        <v>2509.6774193548385</v>
      </c>
      <c r="AD16" s="19">
        <v>1000</v>
      </c>
      <c r="AE16" s="19">
        <v>1979.786936816849</v>
      </c>
      <c r="AF16" s="19">
        <v>800</v>
      </c>
    </row>
    <row r="17" spans="1:32" s="14" customFormat="1" ht="12" customHeight="1" outlineLevel="1" x14ac:dyDescent="0.25">
      <c r="A17" s="10">
        <v>24</v>
      </c>
      <c r="B17" s="11" t="s">
        <v>41</v>
      </c>
      <c r="C17" s="10">
        <v>7782</v>
      </c>
      <c r="D17" s="12" t="s">
        <v>22</v>
      </c>
      <c r="E17" s="13">
        <v>13</v>
      </c>
      <c r="F17" s="13">
        <v>200</v>
      </c>
      <c r="G17" s="13">
        <v>972.36967536123075</v>
      </c>
      <c r="H17" s="13">
        <v>1087.2747255052584</v>
      </c>
      <c r="I17" s="13">
        <v>51</v>
      </c>
      <c r="J17" s="13">
        <v>1296</v>
      </c>
      <c r="K17" s="13">
        <v>195.02353387674302</v>
      </c>
      <c r="L17" s="13">
        <v>332.2</v>
      </c>
      <c r="M17" s="13">
        <v>264</v>
      </c>
      <c r="N17" s="13">
        <v>54.441445792175202</v>
      </c>
      <c r="O17" s="13">
        <v>10</v>
      </c>
      <c r="Q17" s="15">
        <v>15</v>
      </c>
      <c r="R17" s="21" t="s">
        <v>28</v>
      </c>
      <c r="S17" s="12">
        <v>5859</v>
      </c>
      <c r="T17" s="17">
        <v>50</v>
      </c>
      <c r="U17" s="17">
        <v>151.30000000000001</v>
      </c>
      <c r="V17" s="17">
        <v>129.57777777777781</v>
      </c>
      <c r="W17" s="18">
        <v>1377.0000000000002</v>
      </c>
      <c r="X17" s="18">
        <v>747.60000000000014</v>
      </c>
      <c r="Y17" s="18">
        <v>245.1428571428572</v>
      </c>
      <c r="Z17" s="19">
        <v>162</v>
      </c>
      <c r="AA17" s="19">
        <v>150</v>
      </c>
      <c r="AB17" s="19">
        <v>50.594285714285718</v>
      </c>
      <c r="AC17" s="22">
        <v>-585.60000000000014</v>
      </c>
      <c r="AD17" s="19">
        <v>150</v>
      </c>
      <c r="AE17" s="19">
        <v>91.069714285714298</v>
      </c>
      <c r="AF17" s="19">
        <f>VLOOKUP(S17,'[1]без тендера 15.06.2026'!$A$168:$AQ$227,43,0)</f>
        <v>105.93281249999998</v>
      </c>
    </row>
    <row r="18" spans="1:32" s="14" customFormat="1" ht="12" customHeight="1" outlineLevel="1" x14ac:dyDescent="0.25">
      <c r="A18" s="10">
        <v>25</v>
      </c>
      <c r="B18" s="11" t="s">
        <v>42</v>
      </c>
      <c r="C18" s="10">
        <v>7783</v>
      </c>
      <c r="D18" s="12" t="s">
        <v>22</v>
      </c>
      <c r="E18" s="13">
        <v>80</v>
      </c>
      <c r="F18" s="13">
        <v>240</v>
      </c>
      <c r="G18" s="13">
        <v>320</v>
      </c>
      <c r="H18" s="13">
        <v>3341.3808637478674</v>
      </c>
      <c r="I18" s="13">
        <v>782</v>
      </c>
      <c r="J18" s="13">
        <v>2376</v>
      </c>
      <c r="K18" s="13">
        <v>283.67059472980804</v>
      </c>
      <c r="L18" s="13">
        <v>362.4</v>
      </c>
      <c r="M18" s="13">
        <v>44</v>
      </c>
      <c r="N18" s="13">
        <v>108.8828915843504</v>
      </c>
      <c r="O18" s="13">
        <v>100</v>
      </c>
      <c r="Q18" s="15">
        <v>16</v>
      </c>
      <c r="R18" s="21" t="s">
        <v>30</v>
      </c>
      <c r="S18" s="12">
        <v>69068</v>
      </c>
      <c r="T18" s="17">
        <v>200</v>
      </c>
      <c r="U18" s="17">
        <v>80.911111111111111</v>
      </c>
      <c r="V18" s="17">
        <v>149.23402777777775</v>
      </c>
      <c r="W18" s="18">
        <v>121</v>
      </c>
      <c r="X18" s="18">
        <v>141.73749999999995</v>
      </c>
      <c r="Y18" s="18">
        <v>106.64583333333333</v>
      </c>
      <c r="Z18" s="19">
        <v>1100</v>
      </c>
      <c r="AA18" s="19">
        <v>800</v>
      </c>
      <c r="AB18" s="19">
        <v>251.29285714285717</v>
      </c>
      <c r="AC18" s="22">
        <v>1235.2625</v>
      </c>
      <c r="AD18" s="19">
        <v>400</v>
      </c>
      <c r="AE18" s="19">
        <v>452.32714285714292</v>
      </c>
      <c r="AF18" s="19">
        <v>200</v>
      </c>
    </row>
    <row r="19" spans="1:32" s="14" customFormat="1" ht="12" customHeight="1" outlineLevel="1" x14ac:dyDescent="0.25">
      <c r="A19" s="10">
        <v>26</v>
      </c>
      <c r="B19" s="11" t="s">
        <v>43</v>
      </c>
      <c r="C19" s="10">
        <v>7794</v>
      </c>
      <c r="D19" s="12" t="s">
        <v>22</v>
      </c>
      <c r="E19" s="13">
        <v>0</v>
      </c>
      <c r="F19" s="13">
        <v>240</v>
      </c>
      <c r="G19" s="13">
        <v>160</v>
      </c>
      <c r="H19" s="13">
        <v>1644.171536129903</v>
      </c>
      <c r="I19" s="13">
        <v>1190</v>
      </c>
      <c r="J19" s="13">
        <v>342</v>
      </c>
      <c r="K19" s="13">
        <v>531.88236511839</v>
      </c>
      <c r="L19" s="13">
        <v>317.10000000000002</v>
      </c>
      <c r="M19" s="13">
        <v>572</v>
      </c>
      <c r="N19" s="13">
        <v>171.10168677540779</v>
      </c>
      <c r="O19" s="13">
        <v>310</v>
      </c>
      <c r="Q19" s="15">
        <v>17</v>
      </c>
      <c r="R19" s="21" t="s">
        <v>32</v>
      </c>
      <c r="S19" s="12">
        <v>69069</v>
      </c>
      <c r="T19" s="17">
        <v>250</v>
      </c>
      <c r="U19" s="17">
        <v>787.36842105263156</v>
      </c>
      <c r="V19" s="17">
        <v>640.8568943018704</v>
      </c>
      <c r="W19" s="18">
        <v>450</v>
      </c>
      <c r="X19" s="18">
        <v>448.51239669421489</v>
      </c>
      <c r="Y19" s="18">
        <v>73.921133412042508</v>
      </c>
      <c r="Z19" s="19">
        <v>600</v>
      </c>
      <c r="AA19" s="19">
        <v>450</v>
      </c>
      <c r="AB19" s="19">
        <v>151.23005309416791</v>
      </c>
      <c r="AC19" s="20">
        <v>251.48760330578511</v>
      </c>
      <c r="AD19" s="19">
        <v>450</v>
      </c>
      <c r="AE19" s="19">
        <v>540</v>
      </c>
      <c r="AF19" s="19">
        <v>200</v>
      </c>
    </row>
    <row r="20" spans="1:32" s="14" customFormat="1" ht="12" customHeight="1" outlineLevel="1" x14ac:dyDescent="0.25">
      <c r="A20" s="10">
        <v>27</v>
      </c>
      <c r="B20" s="11" t="s">
        <v>44</v>
      </c>
      <c r="C20" s="10">
        <v>7795</v>
      </c>
      <c r="D20" s="12" t="s">
        <v>22</v>
      </c>
      <c r="E20" s="13">
        <v>26</v>
      </c>
      <c r="F20" s="13">
        <v>680</v>
      </c>
      <c r="G20" s="13">
        <v>560</v>
      </c>
      <c r="H20" s="13">
        <v>4189.9855275568498</v>
      </c>
      <c r="I20" s="13">
        <v>3706</v>
      </c>
      <c r="J20" s="13">
        <v>2520</v>
      </c>
      <c r="K20" s="13">
        <v>3971.3883262173126</v>
      </c>
      <c r="L20" s="13">
        <v>3926</v>
      </c>
      <c r="M20" s="13">
        <v>2948.0000000000005</v>
      </c>
      <c r="N20" s="13">
        <v>342.20337355081557</v>
      </c>
      <c r="O20" s="13">
        <v>660</v>
      </c>
      <c r="Q20" s="15">
        <v>18</v>
      </c>
      <c r="R20" s="21" t="s">
        <v>34</v>
      </c>
      <c r="S20" s="12">
        <v>5868</v>
      </c>
      <c r="T20" s="17">
        <v>40.5</v>
      </c>
      <c r="U20" s="17">
        <v>153.4736842105263</v>
      </c>
      <c r="V20" s="17">
        <v>145.05027223230485</v>
      </c>
      <c r="W20" s="18">
        <v>1048</v>
      </c>
      <c r="X20" s="18">
        <v>571.46206896551712</v>
      </c>
      <c r="Y20" s="18">
        <v>191.03042596348882</v>
      </c>
      <c r="Z20" s="19">
        <v>405</v>
      </c>
      <c r="AA20" s="19">
        <v>300</v>
      </c>
      <c r="AB20" s="19">
        <v>205.59212981744423</v>
      </c>
      <c r="AC20" s="20">
        <v>-166.46206896551712</v>
      </c>
      <c r="AD20" s="19">
        <v>350</v>
      </c>
      <c r="AE20" s="19">
        <v>370.06583367139962</v>
      </c>
      <c r="AF20" s="19">
        <f>VLOOKUP(S20,'[1]без тендера 15.06.2026'!$A$168:$AQ$227,43,0)</f>
        <v>273.98249999999996</v>
      </c>
    </row>
    <row r="21" spans="1:32" s="14" customFormat="1" ht="12" customHeight="1" outlineLevel="1" x14ac:dyDescent="0.25">
      <c r="A21" s="10">
        <v>28</v>
      </c>
      <c r="B21" s="11" t="s">
        <v>45</v>
      </c>
      <c r="C21" s="10">
        <v>7798</v>
      </c>
      <c r="D21" s="12" t="s">
        <v>22</v>
      </c>
      <c r="E21" s="13">
        <v>13</v>
      </c>
      <c r="F21" s="13">
        <v>40</v>
      </c>
      <c r="G21" s="13">
        <v>90</v>
      </c>
      <c r="H21" s="13">
        <v>278.44840531232228</v>
      </c>
      <c r="I21" s="13">
        <v>272</v>
      </c>
      <c r="J21" s="13">
        <v>72</v>
      </c>
      <c r="K21" s="13">
        <v>64.054650422859879</v>
      </c>
      <c r="L21" s="13">
        <v>151</v>
      </c>
      <c r="M21" s="13">
        <v>10</v>
      </c>
      <c r="N21" s="13">
        <v>7.7773493988821718</v>
      </c>
      <c r="O21" s="13">
        <v>20</v>
      </c>
      <c r="Q21" s="15">
        <v>19</v>
      </c>
      <c r="R21" s="21" t="s">
        <v>36</v>
      </c>
      <c r="S21" s="12">
        <v>6263</v>
      </c>
      <c r="T21" s="17">
        <v>25</v>
      </c>
      <c r="U21" s="17">
        <v>30.874666666666663</v>
      </c>
      <c r="V21" s="17">
        <v>50.382933333333327</v>
      </c>
      <c r="W21" s="18">
        <v>106.56</v>
      </c>
      <c r="X21" s="18">
        <v>90.93119999999999</v>
      </c>
      <c r="Y21" s="18">
        <v>12.124159999999998</v>
      </c>
      <c r="Z21" s="19">
        <v>50</v>
      </c>
      <c r="AA21" s="19">
        <v>50</v>
      </c>
      <c r="AB21" s="19">
        <v>0.27062857142857139</v>
      </c>
      <c r="AC21" s="20">
        <v>-90.93119999999999</v>
      </c>
      <c r="AD21" s="19">
        <v>100</v>
      </c>
      <c r="AE21" s="19">
        <v>90</v>
      </c>
      <c r="AF21" s="19">
        <f>VLOOKUP(S21,'[1]без тендера 15.06.2026'!$A$168:$AQ$227,43,0)</f>
        <v>48.205714285714286</v>
      </c>
    </row>
    <row r="22" spans="1:32" s="14" customFormat="1" ht="12" customHeight="1" outlineLevel="1" x14ac:dyDescent="0.25">
      <c r="A22" s="10">
        <v>42</v>
      </c>
      <c r="B22" s="11" t="s">
        <v>46</v>
      </c>
      <c r="C22" s="10">
        <v>8338</v>
      </c>
      <c r="D22" s="12" t="s">
        <v>47</v>
      </c>
      <c r="E22" s="13">
        <v>106</v>
      </c>
      <c r="F22" s="13">
        <v>81.599999999999994</v>
      </c>
      <c r="G22" s="13">
        <v>103.79480953274533</v>
      </c>
      <c r="H22" s="13">
        <v>94.672457806189584</v>
      </c>
      <c r="I22" s="13">
        <v>901.68</v>
      </c>
      <c r="J22" s="13">
        <v>422.28</v>
      </c>
      <c r="K22" s="13">
        <v>198.92400455427787</v>
      </c>
      <c r="L22" s="13">
        <v>184.82400000000001</v>
      </c>
      <c r="M22" s="13">
        <v>359.04</v>
      </c>
      <c r="N22" s="13">
        <v>55.530274708018709</v>
      </c>
      <c r="O22" s="13">
        <v>81.599999999999994</v>
      </c>
      <c r="Q22" s="15">
        <v>20</v>
      </c>
      <c r="R22" s="21" t="s">
        <v>48</v>
      </c>
      <c r="S22" s="12">
        <v>8301</v>
      </c>
      <c r="T22" s="17">
        <v>98</v>
      </c>
      <c r="U22" s="17">
        <v>617.4</v>
      </c>
      <c r="V22" s="17">
        <v>136.62352941176468</v>
      </c>
      <c r="W22" s="18">
        <v>49</v>
      </c>
      <c r="X22" s="18">
        <v>32.858823529411765</v>
      </c>
      <c r="Y22" s="18">
        <v>0</v>
      </c>
      <c r="Z22" s="19">
        <v>73.5</v>
      </c>
      <c r="AA22" s="19">
        <v>50</v>
      </c>
      <c r="AB22" s="19">
        <v>14.411764705882353</v>
      </c>
      <c r="AC22" s="20">
        <v>40.641176470588235</v>
      </c>
      <c r="AD22" s="19">
        <v>50</v>
      </c>
      <c r="AE22" s="19">
        <v>25.941176470588239</v>
      </c>
      <c r="AF22" s="19">
        <f>VLOOKUP(S22,'[1]без тендера 15.06.2026'!$A$168:$AQ$227,43,0)</f>
        <v>38.623529411764707</v>
      </c>
    </row>
    <row r="23" spans="1:32" s="14" customFormat="1" ht="12" customHeight="1" outlineLevel="1" x14ac:dyDescent="0.25">
      <c r="A23" s="10">
        <v>43</v>
      </c>
      <c r="B23" s="11" t="s">
        <v>49</v>
      </c>
      <c r="C23" s="10">
        <v>9015</v>
      </c>
      <c r="D23" s="12" t="s">
        <v>17</v>
      </c>
      <c r="E23" s="13">
        <v>52</v>
      </c>
      <c r="F23" s="13">
        <v>40</v>
      </c>
      <c r="G23" s="13">
        <v>0</v>
      </c>
      <c r="H23" s="13">
        <v>60</v>
      </c>
      <c r="I23" s="13">
        <v>20</v>
      </c>
      <c r="J23" s="13">
        <v>40</v>
      </c>
      <c r="K23" s="13">
        <v>45.753321730614196</v>
      </c>
      <c r="L23" s="13">
        <v>0</v>
      </c>
      <c r="M23" s="13">
        <v>0</v>
      </c>
      <c r="N23" s="13">
        <v>0</v>
      </c>
      <c r="O23" s="13">
        <v>0</v>
      </c>
      <c r="Q23" s="15">
        <v>21</v>
      </c>
      <c r="R23" s="21" t="s">
        <v>50</v>
      </c>
      <c r="S23" s="12">
        <v>8302</v>
      </c>
      <c r="T23" s="17">
        <v>50</v>
      </c>
      <c r="U23" s="17">
        <v>48.66</v>
      </c>
      <c r="V23" s="17">
        <v>42.172000000000004</v>
      </c>
      <c r="W23" s="18">
        <v>25.5</v>
      </c>
      <c r="X23" s="18">
        <v>66.300000000000011</v>
      </c>
      <c r="Y23" s="18">
        <v>14.610810810810813</v>
      </c>
      <c r="Z23" s="19">
        <v>76.5</v>
      </c>
      <c r="AA23" s="19">
        <v>50</v>
      </c>
      <c r="AB23" s="19">
        <v>54.105945945945933</v>
      </c>
      <c r="AC23" s="20">
        <v>10.199999999999989</v>
      </c>
      <c r="AD23" s="19">
        <v>50</v>
      </c>
      <c r="AE23" s="19">
        <v>97.390702702702683</v>
      </c>
      <c r="AF23" s="19">
        <f>VLOOKUP(S23,'[1]без тендера 15.06.2026'!$A$168:$AQ$227,43,0)</f>
        <v>0</v>
      </c>
    </row>
    <row r="24" spans="1:32" s="14" customFormat="1" ht="12" customHeight="1" outlineLevel="1" x14ac:dyDescent="0.25">
      <c r="A24" s="10">
        <v>44</v>
      </c>
      <c r="B24" s="11" t="s">
        <v>51</v>
      </c>
      <c r="C24" s="10">
        <v>9028</v>
      </c>
      <c r="D24" s="12" t="s">
        <v>17</v>
      </c>
      <c r="E24" s="13">
        <v>182</v>
      </c>
      <c r="F24" s="13">
        <v>120</v>
      </c>
      <c r="G24" s="13">
        <v>250</v>
      </c>
      <c r="H24" s="13">
        <v>265.18895744030692</v>
      </c>
      <c r="I24" s="13">
        <v>306</v>
      </c>
      <c r="J24" s="13">
        <v>612</v>
      </c>
      <c r="K24" s="13">
        <v>283.67059472980804</v>
      </c>
      <c r="L24" s="13">
        <v>392.6</v>
      </c>
      <c r="M24" s="13">
        <v>264</v>
      </c>
      <c r="N24" s="13">
        <v>622.1879519105737</v>
      </c>
      <c r="O24" s="13">
        <v>300</v>
      </c>
      <c r="Q24" s="15">
        <v>22</v>
      </c>
      <c r="R24" s="21" t="s">
        <v>52</v>
      </c>
      <c r="S24" s="12">
        <v>8316</v>
      </c>
      <c r="T24" s="17">
        <v>25</v>
      </c>
      <c r="U24" s="17">
        <v>271.33333333333331</v>
      </c>
      <c r="V24" s="17">
        <v>22.794871794871799</v>
      </c>
      <c r="W24" s="18">
        <v>24.5</v>
      </c>
      <c r="X24" s="18">
        <v>1.8846153846153846</v>
      </c>
      <c r="Y24" s="18">
        <v>0.89881656804733745</v>
      </c>
      <c r="Z24" s="19">
        <v>24.5</v>
      </c>
      <c r="AA24" s="19">
        <v>50</v>
      </c>
      <c r="AB24" s="19">
        <v>6.5303595812471551</v>
      </c>
      <c r="AC24" s="20">
        <v>22.615384615384617</v>
      </c>
      <c r="AD24" s="19">
        <v>50</v>
      </c>
      <c r="AE24" s="19">
        <v>11.754647246244879</v>
      </c>
      <c r="AF24" s="19">
        <f>VLOOKUP(S24,'[1]без тендера 15.06.2026'!$A$168:$AQ$227,43,0)</f>
        <v>29.776923076923083</v>
      </c>
    </row>
    <row r="25" spans="1:32" s="14" customFormat="1" ht="12" customHeight="1" outlineLevel="1" x14ac:dyDescent="0.25">
      <c r="A25" s="10">
        <v>45</v>
      </c>
      <c r="B25" s="11" t="s">
        <v>53</v>
      </c>
      <c r="C25" s="10">
        <v>78755</v>
      </c>
      <c r="D25" s="12" t="s">
        <v>54</v>
      </c>
      <c r="E25" s="13">
        <v>290</v>
      </c>
      <c r="F25" s="13">
        <v>352.79999999999995</v>
      </c>
      <c r="G25" s="13">
        <v>245</v>
      </c>
      <c r="H25" s="13">
        <v>350.84499069352609</v>
      </c>
      <c r="I25" s="13">
        <v>449.82000000000005</v>
      </c>
      <c r="J25" s="13">
        <v>430.92</v>
      </c>
      <c r="K25" s="13">
        <v>446.78118669944769</v>
      </c>
      <c r="L25" s="13">
        <v>418.572</v>
      </c>
      <c r="M25" s="13">
        <v>554.40000000000009</v>
      </c>
      <c r="N25" s="13">
        <v>362.58002897588682</v>
      </c>
      <c r="O25" s="13">
        <v>239.4</v>
      </c>
      <c r="Q25" s="15">
        <v>23</v>
      </c>
      <c r="R25" s="21" t="s">
        <v>55</v>
      </c>
      <c r="S25" s="12">
        <v>8317</v>
      </c>
      <c r="T25" s="17">
        <v>25</v>
      </c>
      <c r="U25" s="17">
        <v>495.99999999999994</v>
      </c>
      <c r="V25" s="17">
        <v>56.179999999999993</v>
      </c>
      <c r="W25" s="18">
        <v>102</v>
      </c>
      <c r="X25" s="18">
        <v>17.34</v>
      </c>
      <c r="Y25" s="18">
        <v>29.579999999999995</v>
      </c>
      <c r="Z25" s="19">
        <v>25.5</v>
      </c>
      <c r="AA25" s="19">
        <v>50</v>
      </c>
      <c r="AB25" s="19">
        <v>11.503333333333334</v>
      </c>
      <c r="AC25" s="20">
        <v>8.16</v>
      </c>
      <c r="AD25" s="19">
        <v>50</v>
      </c>
      <c r="AE25" s="19">
        <v>20.706000000000003</v>
      </c>
      <c r="AF25" s="19">
        <f>VLOOKUP(S25,'[1]без тендера 15.06.2026'!$A$168:$AQ$227,43,0)</f>
        <v>20.477272727272723</v>
      </c>
    </row>
    <row r="26" spans="1:32" s="14" customFormat="1" ht="12" customHeight="1" outlineLevel="1" x14ac:dyDescent="0.25">
      <c r="A26" s="10">
        <v>46</v>
      </c>
      <c r="B26" s="11" t="s">
        <v>56</v>
      </c>
      <c r="C26" s="10">
        <v>78756</v>
      </c>
      <c r="D26" s="12" t="s">
        <v>54</v>
      </c>
      <c r="E26" s="13">
        <v>1060</v>
      </c>
      <c r="F26" s="13">
        <v>1960.8</v>
      </c>
      <c r="G26" s="13">
        <v>1680</v>
      </c>
      <c r="H26" s="13">
        <v>740.67275813077708</v>
      </c>
      <c r="I26" s="13">
        <v>2480.64</v>
      </c>
      <c r="J26" s="13">
        <v>1251.72</v>
      </c>
      <c r="K26" s="13">
        <v>990.36496385044234</v>
      </c>
      <c r="L26" s="13">
        <v>843.48599999999999</v>
      </c>
      <c r="M26" s="13">
        <v>927.96000000000015</v>
      </c>
      <c r="N26" s="13">
        <v>948.68107967564731</v>
      </c>
      <c r="O26" s="13">
        <v>843.6</v>
      </c>
      <c r="Q26" s="15">
        <v>24</v>
      </c>
      <c r="R26" s="21" t="s">
        <v>57</v>
      </c>
      <c r="S26" s="12">
        <v>8323</v>
      </c>
      <c r="T26" s="17">
        <v>76.5</v>
      </c>
      <c r="U26" s="17">
        <v>127.86428571428569</v>
      </c>
      <c r="V26" s="17">
        <v>34.822402597402593</v>
      </c>
      <c r="W26" s="18">
        <v>51</v>
      </c>
      <c r="X26" s="18">
        <v>18.081818181818178</v>
      </c>
      <c r="Y26" s="18">
        <v>12.014229249011855</v>
      </c>
      <c r="Z26" s="19">
        <v>80</v>
      </c>
      <c r="AA26" s="19">
        <v>50</v>
      </c>
      <c r="AB26" s="19">
        <v>30.337944664031621</v>
      </c>
      <c r="AC26" s="20">
        <v>83.918181818181822</v>
      </c>
      <c r="AD26" s="19">
        <v>50</v>
      </c>
      <c r="AE26" s="19">
        <v>54.608300395256919</v>
      </c>
      <c r="AF26" s="19">
        <f>VLOOKUP(S26,'[1]без тендера 15.06.2026'!$A$168:$AQ$227,43,0)</f>
        <v>0</v>
      </c>
    </row>
    <row r="27" spans="1:32" s="14" customFormat="1" ht="12" customHeight="1" outlineLevel="1" x14ac:dyDescent="0.25">
      <c r="A27" s="10">
        <v>47</v>
      </c>
      <c r="B27" s="11" t="s">
        <v>58</v>
      </c>
      <c r="C27" s="10">
        <v>78757</v>
      </c>
      <c r="D27" s="12" t="s">
        <v>54</v>
      </c>
      <c r="E27" s="13">
        <v>1090</v>
      </c>
      <c r="F27" s="13">
        <v>1980</v>
      </c>
      <c r="G27" s="13">
        <v>1850</v>
      </c>
      <c r="H27" s="13">
        <v>1856.3227020821485</v>
      </c>
      <c r="I27" s="13">
        <v>2006</v>
      </c>
      <c r="J27" s="13">
        <v>2466</v>
      </c>
      <c r="K27" s="13">
        <v>2943.0824203217585</v>
      </c>
      <c r="L27" s="13">
        <v>2944.5</v>
      </c>
      <c r="M27" s="13">
        <v>2992.0000000000005</v>
      </c>
      <c r="N27" s="13">
        <v>2379.8689160579447</v>
      </c>
      <c r="O27" s="13">
        <v>1660</v>
      </c>
      <c r="Q27" s="15">
        <v>25</v>
      </c>
      <c r="R27" s="21" t="s">
        <v>59</v>
      </c>
      <c r="S27" s="12">
        <v>8327</v>
      </c>
      <c r="T27" s="17">
        <v>49</v>
      </c>
      <c r="U27" s="17">
        <v>146.99999999999997</v>
      </c>
      <c r="V27" s="17">
        <v>30.8</v>
      </c>
      <c r="W27" s="18">
        <v>24.5</v>
      </c>
      <c r="X27" s="18">
        <v>9.1000000000000014</v>
      </c>
      <c r="Y27" s="18">
        <v>0</v>
      </c>
      <c r="Z27" s="19">
        <v>49</v>
      </c>
      <c r="AA27" s="19">
        <v>50</v>
      </c>
      <c r="AB27" s="19">
        <v>34.300000000000004</v>
      </c>
      <c r="AC27" s="20">
        <v>39.9</v>
      </c>
      <c r="AD27" s="19">
        <v>50</v>
      </c>
      <c r="AE27" s="19">
        <v>61.740000000000009</v>
      </c>
      <c r="AF27" s="19">
        <f>VLOOKUP(S27,'[1]без тендера 15.06.2026'!$A$168:$AQ$227,43,0)</f>
        <v>0</v>
      </c>
    </row>
    <row r="28" spans="1:32" s="14" customFormat="1" ht="12" customHeight="1" outlineLevel="1" x14ac:dyDescent="0.25">
      <c r="A28" s="10">
        <v>48</v>
      </c>
      <c r="B28" s="11" t="s">
        <v>60</v>
      </c>
      <c r="C28" s="10">
        <v>78758</v>
      </c>
      <c r="D28" s="12" t="s">
        <v>54</v>
      </c>
      <c r="E28" s="13">
        <v>1780</v>
      </c>
      <c r="F28" s="13">
        <v>3080</v>
      </c>
      <c r="G28" s="13">
        <v>2300</v>
      </c>
      <c r="H28" s="13">
        <v>5754.6003764546604</v>
      </c>
      <c r="I28" s="13">
        <v>3570</v>
      </c>
      <c r="J28" s="13">
        <v>1476</v>
      </c>
      <c r="K28" s="13">
        <v>2978.5412446629844</v>
      </c>
      <c r="L28" s="13">
        <v>3503.2</v>
      </c>
      <c r="M28" s="13">
        <v>3168.0000000000005</v>
      </c>
      <c r="N28" s="13">
        <v>2084.3296389004222</v>
      </c>
      <c r="O28" s="13">
        <v>2200</v>
      </c>
      <c r="Q28" s="15">
        <v>26</v>
      </c>
      <c r="R28" s="21" t="s">
        <v>61</v>
      </c>
      <c r="S28" s="12">
        <v>8328</v>
      </c>
      <c r="T28" s="17">
        <v>100</v>
      </c>
      <c r="U28" s="17">
        <v>217.92</v>
      </c>
      <c r="V28" s="17">
        <v>87.489230769230744</v>
      </c>
      <c r="W28" s="18">
        <v>25.5</v>
      </c>
      <c r="X28" s="18">
        <v>20.007692307692306</v>
      </c>
      <c r="Y28" s="18">
        <v>2.6851282051282044</v>
      </c>
      <c r="Z28" s="19">
        <v>200</v>
      </c>
      <c r="AA28" s="19">
        <v>50</v>
      </c>
      <c r="AB28" s="19">
        <v>16.23659043659044</v>
      </c>
      <c r="AC28" s="20">
        <v>209.49230769230769</v>
      </c>
      <c r="AD28" s="19">
        <v>50</v>
      </c>
      <c r="AE28" s="19">
        <v>29.225862785862795</v>
      </c>
      <c r="AF28" s="19">
        <f>VLOOKUP(S28,'[1]без тендера 15.06.2026'!$A$168:$AQ$227,43,0)</f>
        <v>15.897297297297296</v>
      </c>
    </row>
    <row r="29" spans="1:32" s="14" customFormat="1" ht="12" customHeight="1" outlineLevel="1" x14ac:dyDescent="0.25">
      <c r="A29" s="10">
        <v>49</v>
      </c>
      <c r="B29" s="11" t="s">
        <v>62</v>
      </c>
      <c r="C29" s="10">
        <v>78770</v>
      </c>
      <c r="D29" s="12" t="s">
        <v>54</v>
      </c>
      <c r="E29" s="13">
        <v>101</v>
      </c>
      <c r="F29" s="13">
        <v>302.39999999999998</v>
      </c>
      <c r="G29" s="13">
        <v>142.46346406455243</v>
      </c>
      <c r="H29" s="13">
        <v>233.89666046235072</v>
      </c>
      <c r="I29" s="13">
        <v>171.35999999999999</v>
      </c>
      <c r="J29" s="13">
        <v>158.76000000000002</v>
      </c>
      <c r="K29" s="13">
        <v>312.74683068961332</v>
      </c>
      <c r="L29" s="13">
        <v>171.23399999999998</v>
      </c>
      <c r="M29" s="13">
        <v>221.76000000000002</v>
      </c>
      <c r="N29" s="13">
        <v>127.39298315368998</v>
      </c>
      <c r="O29" s="13">
        <v>151.19999999999999</v>
      </c>
      <c r="Q29" s="15">
        <v>27</v>
      </c>
      <c r="R29" s="21" t="s">
        <v>63</v>
      </c>
      <c r="S29" s="12">
        <v>8333</v>
      </c>
      <c r="T29" s="17">
        <v>25.5</v>
      </c>
      <c r="U29" s="17">
        <v>300</v>
      </c>
      <c r="V29" s="17">
        <v>24.168749999999999</v>
      </c>
      <c r="W29" s="18">
        <v>25.5</v>
      </c>
      <c r="X29" s="18">
        <v>6.6937499999999988</v>
      </c>
      <c r="Y29" s="18">
        <v>2.4630681818181817</v>
      </c>
      <c r="Z29" s="19">
        <v>150</v>
      </c>
      <c r="AA29" s="19">
        <v>50</v>
      </c>
      <c r="AB29" s="19">
        <v>8.0522727272727259</v>
      </c>
      <c r="AC29" s="20">
        <v>171.80625000000001</v>
      </c>
      <c r="AD29" s="19">
        <v>150</v>
      </c>
      <c r="AE29" s="19">
        <v>90</v>
      </c>
      <c r="AF29" s="19">
        <f>VLOOKUP(S29,'[1]без тендера 15.06.2026'!$A$168:$AQ$227,43,0)</f>
        <v>95.1</v>
      </c>
    </row>
    <row r="30" spans="1:32" s="14" customFormat="1" ht="12" customHeight="1" outlineLevel="1" x14ac:dyDescent="0.25">
      <c r="A30" s="10">
        <v>50</v>
      </c>
      <c r="B30" s="11" t="s">
        <v>64</v>
      </c>
      <c r="C30" s="10">
        <v>78771</v>
      </c>
      <c r="D30" s="12" t="s">
        <v>54</v>
      </c>
      <c r="E30" s="13">
        <v>365</v>
      </c>
      <c r="F30" s="13">
        <v>775.19999999999993</v>
      </c>
      <c r="G30" s="13">
        <v>1120</v>
      </c>
      <c r="H30" s="13">
        <v>770.90429927897219</v>
      </c>
      <c r="I30" s="13">
        <v>1337.22</v>
      </c>
      <c r="J30" s="13">
        <v>471.96</v>
      </c>
      <c r="K30" s="13">
        <v>202.11529874498825</v>
      </c>
      <c r="L30" s="13">
        <v>275.42400000000004</v>
      </c>
      <c r="M30" s="13">
        <v>300.96000000000004</v>
      </c>
      <c r="N30" s="13">
        <v>79.795604832531083</v>
      </c>
      <c r="O30" s="13">
        <v>68.400000000000006</v>
      </c>
      <c r="Q30" s="15">
        <v>28</v>
      </c>
      <c r="R30" s="21" t="s">
        <v>65</v>
      </c>
      <c r="S30" s="12">
        <v>8337</v>
      </c>
      <c r="T30" s="17">
        <v>73.5</v>
      </c>
      <c r="U30" s="17">
        <v>164.64</v>
      </c>
      <c r="V30" s="17">
        <v>0</v>
      </c>
      <c r="W30" s="18">
        <v>24.5</v>
      </c>
      <c r="X30" s="18">
        <v>0</v>
      </c>
      <c r="Y30" s="18">
        <v>7.8400000000000007</v>
      </c>
      <c r="Z30" s="19">
        <v>122.5</v>
      </c>
      <c r="AA30" s="19">
        <v>50</v>
      </c>
      <c r="AB30" s="19">
        <v>46.647999999999996</v>
      </c>
      <c r="AC30" s="20">
        <v>122.5</v>
      </c>
      <c r="AD30" s="19">
        <v>50</v>
      </c>
      <c r="AE30" s="19">
        <v>83.966399999999993</v>
      </c>
      <c r="AF30" s="19">
        <f>VLOOKUP(S30,'[1]без тендера 15.06.2026'!$A$168:$AQ$227,43,0)</f>
        <v>25.752222222222223</v>
      </c>
    </row>
    <row r="31" spans="1:32" s="14" customFormat="1" ht="12" customHeight="1" outlineLevel="1" x14ac:dyDescent="0.25">
      <c r="A31" s="10">
        <v>51</v>
      </c>
      <c r="B31" s="11" t="s">
        <v>66</v>
      </c>
      <c r="C31" s="10">
        <v>78772</v>
      </c>
      <c r="D31" s="12" t="s">
        <v>54</v>
      </c>
      <c r="E31" s="13">
        <v>810</v>
      </c>
      <c r="F31" s="13">
        <v>1380</v>
      </c>
      <c r="G31" s="13">
        <v>1400</v>
      </c>
      <c r="H31" s="13">
        <v>1166.8314127373505</v>
      </c>
      <c r="I31" s="13">
        <v>1394</v>
      </c>
      <c r="J31" s="13">
        <v>918</v>
      </c>
      <c r="K31" s="13">
        <v>1666.5647440376222</v>
      </c>
      <c r="L31" s="13">
        <v>951.3</v>
      </c>
      <c r="M31" s="13">
        <v>1958.0000000000002</v>
      </c>
      <c r="N31" s="13">
        <v>909.94987966921406</v>
      </c>
      <c r="O31" s="13">
        <v>780</v>
      </c>
      <c r="Q31" s="15">
        <v>29</v>
      </c>
      <c r="R31" s="21" t="s">
        <v>46</v>
      </c>
      <c r="S31" s="12">
        <v>8338</v>
      </c>
      <c r="T31" s="17">
        <v>70</v>
      </c>
      <c r="U31" s="17">
        <v>64.571428571428569</v>
      </c>
      <c r="V31" s="17">
        <v>89.720300751879691</v>
      </c>
      <c r="W31" s="18">
        <v>178.5</v>
      </c>
      <c r="X31" s="18">
        <v>174.20526315789471</v>
      </c>
      <c r="Y31" s="18">
        <v>98.868421052631561</v>
      </c>
      <c r="Z31" s="19">
        <v>450</v>
      </c>
      <c r="AA31" s="19">
        <v>100</v>
      </c>
      <c r="AB31" s="19">
        <v>100.17967332123412</v>
      </c>
      <c r="AC31" s="20">
        <v>361.29473684210529</v>
      </c>
      <c r="AD31" s="19">
        <v>100</v>
      </c>
      <c r="AE31" s="19">
        <v>180.32341197822143</v>
      </c>
      <c r="AF31" s="19">
        <f>VLOOKUP(S31,'[1]без тендера 15.06.2026'!$A$168:$AQ$227,43,0)</f>
        <v>33.677586206896557</v>
      </c>
    </row>
    <row r="32" spans="1:32" s="14" customFormat="1" ht="12" customHeight="1" outlineLevel="1" x14ac:dyDescent="0.25">
      <c r="A32" s="10">
        <v>52</v>
      </c>
      <c r="B32" s="11" t="s">
        <v>67</v>
      </c>
      <c r="C32" s="10">
        <v>78774</v>
      </c>
      <c r="D32" s="12" t="s">
        <v>54</v>
      </c>
      <c r="E32" s="13">
        <v>63</v>
      </c>
      <c r="F32" s="13">
        <v>151.19999999999999</v>
      </c>
      <c r="G32" s="13">
        <v>99.724424845186675</v>
      </c>
      <c r="H32" s="13">
        <v>167.06904318739336</v>
      </c>
      <c r="I32" s="13">
        <v>257.03999999999996</v>
      </c>
      <c r="J32" s="13">
        <v>272.15999999999997</v>
      </c>
      <c r="K32" s="13">
        <v>290.40777135464094</v>
      </c>
      <c r="L32" s="13">
        <v>133.18199999999999</v>
      </c>
      <c r="M32" s="13">
        <v>277.20000000000005</v>
      </c>
      <c r="N32" s="13">
        <v>107.7940626685069</v>
      </c>
      <c r="O32" s="13">
        <v>126</v>
      </c>
      <c r="Q32" s="15">
        <v>30</v>
      </c>
      <c r="R32" s="21" t="s">
        <v>68</v>
      </c>
      <c r="S32" s="12">
        <v>65156</v>
      </c>
      <c r="T32" s="17">
        <v>0</v>
      </c>
      <c r="U32" s="17">
        <v>0</v>
      </c>
      <c r="V32" s="17">
        <v>0</v>
      </c>
      <c r="W32" s="18">
        <v>0</v>
      </c>
      <c r="X32" s="18">
        <v>0</v>
      </c>
      <c r="Y32" s="18">
        <v>0</v>
      </c>
      <c r="Z32" s="19">
        <v>100</v>
      </c>
      <c r="AA32" s="19">
        <v>100</v>
      </c>
      <c r="AB32" s="19">
        <v>0</v>
      </c>
      <c r="AC32" s="20">
        <v>0</v>
      </c>
      <c r="AD32" s="19">
        <v>400</v>
      </c>
      <c r="AE32" s="19">
        <v>540</v>
      </c>
      <c r="AF32" s="19">
        <v>300</v>
      </c>
    </row>
    <row r="33" spans="1:32" s="14" customFormat="1" ht="12" customHeight="1" outlineLevel="1" x14ac:dyDescent="0.25">
      <c r="A33" s="10">
        <v>53</v>
      </c>
      <c r="B33" s="11" t="s">
        <v>69</v>
      </c>
      <c r="C33" s="10">
        <v>78775</v>
      </c>
      <c r="D33" s="12" t="s">
        <v>54</v>
      </c>
      <c r="E33" s="13">
        <v>342</v>
      </c>
      <c r="F33" s="13">
        <v>706.8</v>
      </c>
      <c r="G33" s="13">
        <v>650</v>
      </c>
      <c r="H33" s="13">
        <v>1012.7566284645321</v>
      </c>
      <c r="I33" s="13">
        <v>1182.1799999999998</v>
      </c>
      <c r="J33" s="13">
        <v>451.44000000000005</v>
      </c>
      <c r="K33" s="13">
        <v>80.846119497995289</v>
      </c>
      <c r="L33" s="13">
        <v>499.20600000000002</v>
      </c>
      <c r="M33" s="13">
        <v>150.48000000000002</v>
      </c>
      <c r="N33" s="13">
        <v>372.3794892184784</v>
      </c>
      <c r="O33" s="13">
        <v>68.400000000000006</v>
      </c>
      <c r="Q33" s="15">
        <v>31</v>
      </c>
      <c r="R33" s="21" t="s">
        <v>51</v>
      </c>
      <c r="S33" s="12">
        <v>9028</v>
      </c>
      <c r="T33" s="17">
        <v>100</v>
      </c>
      <c r="U33" s="17">
        <v>293.63636363636363</v>
      </c>
      <c r="V33" s="17">
        <v>213.94984326018809</v>
      </c>
      <c r="W33" s="18">
        <v>50</v>
      </c>
      <c r="X33" s="18">
        <v>46.551724137931039</v>
      </c>
      <c r="Y33" s="18">
        <v>43.275862068965523</v>
      </c>
      <c r="Z33" s="19">
        <v>150</v>
      </c>
      <c r="AA33" s="19">
        <v>100</v>
      </c>
      <c r="AB33" s="19">
        <v>109.01856763925728</v>
      </c>
      <c r="AC33" s="20">
        <v>103.44827586206895</v>
      </c>
      <c r="AD33" s="19">
        <v>100</v>
      </c>
      <c r="AE33" s="19">
        <v>196.23342175066313</v>
      </c>
      <c r="AF33" s="19">
        <v>80</v>
      </c>
    </row>
    <row r="34" spans="1:32" s="14" customFormat="1" ht="12" customHeight="1" outlineLevel="1" x14ac:dyDescent="0.25">
      <c r="A34" s="10">
        <v>54</v>
      </c>
      <c r="B34" s="11" t="s">
        <v>70</v>
      </c>
      <c r="C34" s="10">
        <v>78776</v>
      </c>
      <c r="D34" s="12" t="s">
        <v>54</v>
      </c>
      <c r="E34" s="13">
        <v>1000</v>
      </c>
      <c r="F34" s="13">
        <v>1340</v>
      </c>
      <c r="G34" s="13">
        <v>1141.9690373428407</v>
      </c>
      <c r="H34" s="13">
        <v>1577.8742967698263</v>
      </c>
      <c r="I34" s="13">
        <v>1207</v>
      </c>
      <c r="J34" s="13">
        <v>846</v>
      </c>
      <c r="K34" s="13">
        <v>1329.7059127959751</v>
      </c>
      <c r="L34" s="13">
        <v>906</v>
      </c>
      <c r="M34" s="13">
        <v>1100</v>
      </c>
      <c r="N34" s="13">
        <v>762.1802410904528</v>
      </c>
      <c r="O34" s="13">
        <v>1390</v>
      </c>
      <c r="Q34" s="15">
        <v>32</v>
      </c>
      <c r="R34" s="21" t="s">
        <v>53</v>
      </c>
      <c r="S34" s="12">
        <v>78755</v>
      </c>
      <c r="T34" s="17">
        <v>535.5</v>
      </c>
      <c r="U34" s="17">
        <v>448.26923076923077</v>
      </c>
      <c r="V34" s="17">
        <v>445.08549172346636</v>
      </c>
      <c r="W34" s="18">
        <v>346.5</v>
      </c>
      <c r="X34" s="18">
        <v>300.96455696202526</v>
      </c>
      <c r="Y34" s="18">
        <v>302.60869916509557</v>
      </c>
      <c r="Z34" s="19">
        <v>500</v>
      </c>
      <c r="AA34" s="19">
        <v>400</v>
      </c>
      <c r="AB34" s="19">
        <v>320.72142668266292</v>
      </c>
      <c r="AC34" s="20">
        <v>266.03544303797474</v>
      </c>
      <c r="AD34" s="19">
        <v>400</v>
      </c>
      <c r="AE34" s="19">
        <v>577.29856802879328</v>
      </c>
      <c r="AF34" s="19">
        <v>200</v>
      </c>
    </row>
    <row r="35" spans="1:32" s="14" customFormat="1" ht="12" customHeight="1" outlineLevel="1" x14ac:dyDescent="0.25">
      <c r="A35" s="10">
        <v>55</v>
      </c>
      <c r="B35" s="11" t="s">
        <v>71</v>
      </c>
      <c r="C35" s="10">
        <v>78782</v>
      </c>
      <c r="D35" s="12" t="s">
        <v>54</v>
      </c>
      <c r="E35" s="13">
        <v>50</v>
      </c>
      <c r="F35" s="13">
        <v>151.19999999999999</v>
      </c>
      <c r="G35" s="13">
        <v>75</v>
      </c>
      <c r="H35" s="13">
        <v>83.534521593696681</v>
      </c>
      <c r="I35" s="13">
        <v>149.94</v>
      </c>
      <c r="J35" s="13">
        <v>249.48</v>
      </c>
      <c r="K35" s="13">
        <v>312.74683068961338</v>
      </c>
      <c r="L35" s="13">
        <v>209.286</v>
      </c>
      <c r="M35" s="13">
        <v>277.20000000000005</v>
      </c>
      <c r="N35" s="13">
        <v>78.395681940732288</v>
      </c>
      <c r="O35" s="13">
        <v>100.8</v>
      </c>
      <c r="Q35" s="15">
        <v>33</v>
      </c>
      <c r="R35" s="21" t="s">
        <v>56</v>
      </c>
      <c r="S35" s="12">
        <v>78756</v>
      </c>
      <c r="T35" s="17">
        <v>2935.5</v>
      </c>
      <c r="U35" s="17">
        <v>1922.1980198019801</v>
      </c>
      <c r="V35" s="17">
        <v>2923.0417010451047</v>
      </c>
      <c r="W35" s="18">
        <v>541.5</v>
      </c>
      <c r="X35" s="18">
        <v>1684.2048611111113</v>
      </c>
      <c r="Y35" s="18">
        <v>741.84712067610076</v>
      </c>
      <c r="Z35" s="19">
        <v>2700</v>
      </c>
      <c r="AA35" s="19">
        <v>2400</v>
      </c>
      <c r="AB35" s="19">
        <v>508.29859606068328</v>
      </c>
      <c r="AC35" s="22">
        <v>1650.2951388888891</v>
      </c>
      <c r="AD35" s="19">
        <v>1500</v>
      </c>
      <c r="AE35" s="19">
        <v>914.93747290922988</v>
      </c>
      <c r="AF35" s="19">
        <v>500</v>
      </c>
    </row>
    <row r="36" spans="1:32" s="14" customFormat="1" ht="12" customHeight="1" outlineLevel="1" x14ac:dyDescent="0.25">
      <c r="A36" s="10">
        <v>56</v>
      </c>
      <c r="B36" s="11" t="s">
        <v>72</v>
      </c>
      <c r="C36" s="10">
        <v>78783</v>
      </c>
      <c r="D36" s="12" t="s">
        <v>54</v>
      </c>
      <c r="E36" s="13">
        <v>399</v>
      </c>
      <c r="F36" s="13">
        <v>752.4</v>
      </c>
      <c r="G36" s="13">
        <v>750</v>
      </c>
      <c r="H36" s="13">
        <v>1224.377416501897</v>
      </c>
      <c r="I36" s="13">
        <v>1085.28</v>
      </c>
      <c r="J36" s="13">
        <v>225.72000000000003</v>
      </c>
      <c r="K36" s="13">
        <v>222.32682861948706</v>
      </c>
      <c r="L36" s="13">
        <v>275.42399999999998</v>
      </c>
      <c r="M36" s="13">
        <v>426.36000000000007</v>
      </c>
      <c r="N36" s="13">
        <v>452.17509405100947</v>
      </c>
      <c r="O36" s="13">
        <v>57</v>
      </c>
      <c r="Q36" s="15">
        <v>34</v>
      </c>
      <c r="R36" s="21" t="s">
        <v>58</v>
      </c>
      <c r="S36" s="12">
        <v>78757</v>
      </c>
      <c r="T36" s="17">
        <v>1400</v>
      </c>
      <c r="U36" s="17">
        <v>2267.113095238095</v>
      </c>
      <c r="V36" s="17">
        <v>2330.4122023809523</v>
      </c>
      <c r="W36" s="18">
        <v>2825</v>
      </c>
      <c r="X36" s="18">
        <v>2329.25</v>
      </c>
      <c r="Y36" s="18">
        <v>1538.9360795454545</v>
      </c>
      <c r="Z36" s="19">
        <v>6200</v>
      </c>
      <c r="AA36" s="19">
        <v>5000</v>
      </c>
      <c r="AB36" s="19">
        <v>2920.3599050203529</v>
      </c>
      <c r="AC36" s="22">
        <v>5370.75</v>
      </c>
      <c r="AD36" s="19">
        <v>3000</v>
      </c>
      <c r="AE36" s="19">
        <v>4500</v>
      </c>
      <c r="AF36" s="19">
        <v>3000</v>
      </c>
    </row>
    <row r="37" spans="1:32" s="14" customFormat="1" ht="12" customHeight="1" outlineLevel="1" x14ac:dyDescent="0.25">
      <c r="A37" s="10">
        <v>57</v>
      </c>
      <c r="B37" s="11" t="s">
        <v>73</v>
      </c>
      <c r="C37" s="10">
        <v>78784</v>
      </c>
      <c r="D37" s="12" t="s">
        <v>54</v>
      </c>
      <c r="E37" s="13">
        <v>930</v>
      </c>
      <c r="F37" s="13">
        <v>1700</v>
      </c>
      <c r="G37" s="13">
        <v>1277.6485269281288</v>
      </c>
      <c r="H37" s="13">
        <v>2386.7006169627625</v>
      </c>
      <c r="I37" s="13">
        <v>1564</v>
      </c>
      <c r="J37" s="13">
        <v>2502</v>
      </c>
      <c r="K37" s="13">
        <v>2038.8823996204951</v>
      </c>
      <c r="L37" s="13">
        <v>1525.1</v>
      </c>
      <c r="M37" s="13">
        <v>1430.0000000000002</v>
      </c>
      <c r="N37" s="13">
        <v>832.1763856803924</v>
      </c>
      <c r="O37" s="13">
        <v>710</v>
      </c>
      <c r="Q37" s="15">
        <v>35</v>
      </c>
      <c r="R37" s="21" t="s">
        <v>60</v>
      </c>
      <c r="S37" s="12">
        <v>78758</v>
      </c>
      <c r="T37" s="17">
        <v>1200</v>
      </c>
      <c r="U37" s="17">
        <v>4200</v>
      </c>
      <c r="V37" s="17">
        <v>1637.7644710578843</v>
      </c>
      <c r="W37" s="18">
        <v>2500</v>
      </c>
      <c r="X37" s="18">
        <v>950.0199600798403</v>
      </c>
      <c r="Y37" s="18">
        <v>355.96165182588197</v>
      </c>
      <c r="Z37" s="19">
        <v>4000</v>
      </c>
      <c r="AA37" s="19">
        <v>3000</v>
      </c>
      <c r="AB37" s="19">
        <v>1091.0737848001843</v>
      </c>
      <c r="AC37" s="22">
        <v>3949.9800399201595</v>
      </c>
      <c r="AD37" s="19">
        <v>3000</v>
      </c>
      <c r="AE37" s="19">
        <v>3600</v>
      </c>
      <c r="AF37" s="19">
        <v>2000</v>
      </c>
    </row>
    <row r="38" spans="1:32" s="14" customFormat="1" ht="12" customHeight="1" outlineLevel="1" x14ac:dyDescent="0.25">
      <c r="A38" s="10">
        <v>58</v>
      </c>
      <c r="B38" s="11" t="s">
        <v>74</v>
      </c>
      <c r="C38" s="10">
        <v>78778</v>
      </c>
      <c r="D38" s="12" t="s">
        <v>54</v>
      </c>
      <c r="E38" s="13">
        <v>101</v>
      </c>
      <c r="F38" s="13">
        <v>201.6</v>
      </c>
      <c r="G38" s="13">
        <v>85.478078438731444</v>
      </c>
      <c r="H38" s="13">
        <v>150.36213886865403</v>
      </c>
      <c r="I38" s="13">
        <v>107.1</v>
      </c>
      <c r="J38" s="13">
        <v>226.8</v>
      </c>
      <c r="K38" s="13">
        <v>178.71247467977906</v>
      </c>
      <c r="L38" s="13">
        <v>152.208</v>
      </c>
      <c r="M38" s="13">
        <v>221.76000000000002</v>
      </c>
      <c r="N38" s="13">
        <v>117.59352291109843</v>
      </c>
      <c r="O38" s="13">
        <v>88.2</v>
      </c>
      <c r="Q38" s="15">
        <v>36</v>
      </c>
      <c r="R38" s="21" t="s">
        <v>62</v>
      </c>
      <c r="S38" s="12">
        <v>78770</v>
      </c>
      <c r="T38" s="17">
        <v>220.5</v>
      </c>
      <c r="U38" s="17">
        <v>278.15454545454548</v>
      </c>
      <c r="V38" s="17">
        <v>221.62424242424245</v>
      </c>
      <c r="W38" s="18">
        <v>378</v>
      </c>
      <c r="X38" s="18">
        <v>229.59999999999997</v>
      </c>
      <c r="Y38" s="18">
        <v>115.83999999999999</v>
      </c>
      <c r="Z38" s="19">
        <v>300</v>
      </c>
      <c r="AA38" s="19">
        <v>174.72</v>
      </c>
      <c r="AB38" s="19">
        <v>267.6878873239437</v>
      </c>
      <c r="AC38" s="20">
        <v>116.90000000000003</v>
      </c>
      <c r="AD38" s="19">
        <v>174.72</v>
      </c>
      <c r="AE38" s="19">
        <v>360</v>
      </c>
      <c r="AF38" s="19">
        <v>200</v>
      </c>
    </row>
    <row r="39" spans="1:32" s="14" customFormat="1" ht="12" customHeight="1" outlineLevel="1" x14ac:dyDescent="0.25">
      <c r="A39" s="10">
        <v>59</v>
      </c>
      <c r="B39" s="11" t="s">
        <v>75</v>
      </c>
      <c r="C39" s="10">
        <v>78779</v>
      </c>
      <c r="D39" s="12" t="s">
        <v>54</v>
      </c>
      <c r="E39" s="13">
        <v>627</v>
      </c>
      <c r="F39" s="13">
        <v>1094.4000000000001</v>
      </c>
      <c r="G39" s="13">
        <v>1149</v>
      </c>
      <c r="H39" s="13">
        <v>922.06200501994715</v>
      </c>
      <c r="I39" s="13">
        <v>503.87999999999994</v>
      </c>
      <c r="J39" s="13">
        <v>266.76</v>
      </c>
      <c r="K39" s="13">
        <v>101.05764937249413</v>
      </c>
      <c r="L39" s="13">
        <v>120.49800000000002</v>
      </c>
      <c r="M39" s="13">
        <v>250.8</v>
      </c>
      <c r="N39" s="13">
        <v>505.37216393936347</v>
      </c>
      <c r="O39" s="13">
        <v>68.400000000000006</v>
      </c>
      <c r="Q39" s="15">
        <v>37</v>
      </c>
      <c r="R39" s="21" t="s">
        <v>64</v>
      </c>
      <c r="S39" s="12">
        <v>78771</v>
      </c>
      <c r="T39" s="17">
        <v>1938</v>
      </c>
      <c r="U39" s="17">
        <v>1213.2770053475936</v>
      </c>
      <c r="V39" s="17">
        <v>1363.5119530014308</v>
      </c>
      <c r="W39" s="18">
        <v>1054.5</v>
      </c>
      <c r="X39" s="18">
        <v>1001.4739436619719</v>
      </c>
      <c r="Y39" s="18">
        <v>436.14738430583503</v>
      </c>
      <c r="Z39" s="19">
        <v>1400</v>
      </c>
      <c r="AA39" s="19">
        <v>1200</v>
      </c>
      <c r="AB39" s="19">
        <v>141.26962591877796</v>
      </c>
      <c r="AC39" s="22">
        <v>537.52605633802807</v>
      </c>
      <c r="AD39" s="19">
        <v>1200</v>
      </c>
      <c r="AE39" s="19">
        <v>540</v>
      </c>
      <c r="AF39" s="19">
        <f>VLOOKUP(S39,'[1]без тендера 15.06.2026'!$A$168:$AQ$227,43,0)</f>
        <v>300.87885794711974</v>
      </c>
    </row>
    <row r="40" spans="1:32" s="14" customFormat="1" ht="12" customHeight="1" outlineLevel="1" x14ac:dyDescent="0.25">
      <c r="A40" s="10">
        <v>60</v>
      </c>
      <c r="B40" s="11" t="s">
        <v>76</v>
      </c>
      <c r="C40" s="10">
        <v>78780</v>
      </c>
      <c r="D40" s="12" t="s">
        <v>54</v>
      </c>
      <c r="E40" s="13">
        <v>1070</v>
      </c>
      <c r="F40" s="13">
        <v>3220</v>
      </c>
      <c r="G40" s="13">
        <v>1062.8226684180895</v>
      </c>
      <c r="H40" s="13">
        <v>3381.1592073639135</v>
      </c>
      <c r="I40" s="13">
        <v>850</v>
      </c>
      <c r="J40" s="13">
        <v>2106</v>
      </c>
      <c r="K40" s="13">
        <v>1170.141203260458</v>
      </c>
      <c r="L40" s="13">
        <v>755</v>
      </c>
      <c r="M40" s="13">
        <v>638</v>
      </c>
      <c r="N40" s="13">
        <v>987.72337365803583</v>
      </c>
      <c r="O40" s="13">
        <v>1160</v>
      </c>
      <c r="Q40" s="15">
        <v>38</v>
      </c>
      <c r="R40" s="21" t="s">
        <v>66</v>
      </c>
      <c r="S40" s="12">
        <v>78772</v>
      </c>
      <c r="T40" s="17">
        <v>1025</v>
      </c>
      <c r="U40" s="17">
        <v>868.08777429467091</v>
      </c>
      <c r="V40" s="17">
        <v>658.09059637400946</v>
      </c>
      <c r="W40" s="18">
        <v>1125</v>
      </c>
      <c r="X40" s="18">
        <v>590.17031630170311</v>
      </c>
      <c r="Y40" s="18">
        <v>219.45232992101199</v>
      </c>
      <c r="Z40" s="19">
        <v>900</v>
      </c>
      <c r="AA40" s="19">
        <v>900</v>
      </c>
      <c r="AB40" s="19">
        <v>824.08986138189198</v>
      </c>
      <c r="AC40" s="22">
        <v>409.82968369829689</v>
      </c>
      <c r="AD40" s="19">
        <v>900</v>
      </c>
      <c r="AE40" s="19">
        <v>1620</v>
      </c>
      <c r="AF40" s="19">
        <v>900</v>
      </c>
    </row>
    <row r="41" spans="1:32" s="14" customFormat="1" ht="12" customHeight="1" outlineLevel="1" x14ac:dyDescent="0.25">
      <c r="A41" s="10">
        <v>61</v>
      </c>
      <c r="B41" s="11" t="s">
        <v>77</v>
      </c>
      <c r="C41" s="10">
        <v>78760</v>
      </c>
      <c r="D41" s="12" t="s">
        <v>54</v>
      </c>
      <c r="E41" s="13">
        <v>88</v>
      </c>
      <c r="F41" s="13">
        <v>176.4</v>
      </c>
      <c r="G41" s="13">
        <v>99.724424845186689</v>
      </c>
      <c r="H41" s="13">
        <v>183.7759475061327</v>
      </c>
      <c r="I41" s="13">
        <v>321.3</v>
      </c>
      <c r="J41" s="13">
        <v>294.84000000000003</v>
      </c>
      <c r="K41" s="13">
        <v>245.72965268469619</v>
      </c>
      <c r="L41" s="13">
        <v>228.31199999999998</v>
      </c>
      <c r="M41" s="13">
        <v>360.36000000000007</v>
      </c>
      <c r="N41" s="13">
        <v>176.39028436664768</v>
      </c>
      <c r="O41" s="13">
        <v>151.19999999999999</v>
      </c>
      <c r="Q41" s="15">
        <v>39</v>
      </c>
      <c r="R41" s="21" t="s">
        <v>67</v>
      </c>
      <c r="S41" s="12">
        <v>78774</v>
      </c>
      <c r="T41" s="17">
        <v>31.5</v>
      </c>
      <c r="U41" s="17">
        <v>65.652631578947378</v>
      </c>
      <c r="V41" s="17">
        <v>85.47</v>
      </c>
      <c r="W41" s="18">
        <v>189</v>
      </c>
      <c r="X41" s="18">
        <v>151.62</v>
      </c>
      <c r="Y41" s="18">
        <v>95.937333333333328</v>
      </c>
      <c r="Z41" s="19">
        <v>200</v>
      </c>
      <c r="AA41" s="19">
        <v>166.51600000000002</v>
      </c>
      <c r="AB41" s="19">
        <v>184.21699999999998</v>
      </c>
      <c r="AC41" s="20">
        <v>68.88</v>
      </c>
      <c r="AD41" s="19">
        <v>166.51600000000002</v>
      </c>
      <c r="AE41" s="19">
        <v>331.59059999999999</v>
      </c>
      <c r="AF41" s="19">
        <f>VLOOKUP(S41,'[1]без тендера 15.06.2026'!$A$168:$AQ$227,43,0)</f>
        <v>171.15</v>
      </c>
    </row>
    <row r="42" spans="1:32" s="14" customFormat="1" ht="12" customHeight="1" outlineLevel="1" x14ac:dyDescent="0.25">
      <c r="A42" s="10">
        <v>62</v>
      </c>
      <c r="B42" s="11" t="s">
        <v>78</v>
      </c>
      <c r="C42" s="10">
        <v>78761</v>
      </c>
      <c r="D42" s="12" t="s">
        <v>54</v>
      </c>
      <c r="E42" s="13">
        <v>490</v>
      </c>
      <c r="F42" s="13">
        <v>889.2</v>
      </c>
      <c r="G42" s="13">
        <v>515.58206042409449</v>
      </c>
      <c r="H42" s="13">
        <v>876.71469329765466</v>
      </c>
      <c r="I42" s="13">
        <v>1705.44</v>
      </c>
      <c r="J42" s="13">
        <v>1292.7600000000002</v>
      </c>
      <c r="K42" s="13">
        <v>1192.4802625954305</v>
      </c>
      <c r="L42" s="13">
        <v>568.06200000000001</v>
      </c>
      <c r="M42" s="13">
        <v>1003.2</v>
      </c>
      <c r="N42" s="13">
        <v>886.61783147256756</v>
      </c>
      <c r="O42" s="13">
        <v>1254</v>
      </c>
      <c r="Q42" s="15">
        <v>40</v>
      </c>
      <c r="R42" s="21" t="s">
        <v>69</v>
      </c>
      <c r="S42" s="12">
        <v>78775</v>
      </c>
      <c r="T42" s="17">
        <v>1200</v>
      </c>
      <c r="U42" s="17">
        <v>1500</v>
      </c>
      <c r="V42" s="17">
        <v>1673.3538461538465</v>
      </c>
      <c r="W42" s="18">
        <v>1482</v>
      </c>
      <c r="X42" s="18">
        <v>1507.7005917159765</v>
      </c>
      <c r="Y42" s="18">
        <v>349.80636423405656</v>
      </c>
      <c r="Z42" s="19">
        <v>1600</v>
      </c>
      <c r="AA42" s="19">
        <v>1000</v>
      </c>
      <c r="AB42" s="19">
        <v>262.02063413289216</v>
      </c>
      <c r="AC42" s="22">
        <v>316.29940828402346</v>
      </c>
      <c r="AD42" s="19">
        <v>600</v>
      </c>
      <c r="AE42" s="19">
        <v>450</v>
      </c>
      <c r="AF42" s="19">
        <v>250</v>
      </c>
    </row>
    <row r="43" spans="1:32" s="14" customFormat="1" ht="12" customHeight="1" outlineLevel="1" x14ac:dyDescent="0.25">
      <c r="A43" s="10">
        <v>63</v>
      </c>
      <c r="B43" s="11" t="s">
        <v>79</v>
      </c>
      <c r="C43" s="10">
        <v>78762</v>
      </c>
      <c r="D43" s="12" t="s">
        <v>54</v>
      </c>
      <c r="E43" s="13">
        <v>1510</v>
      </c>
      <c r="F43" s="13">
        <v>2320</v>
      </c>
      <c r="G43" s="13">
        <v>3651</v>
      </c>
      <c r="H43" s="13">
        <v>2506.0356478109006</v>
      </c>
      <c r="I43" s="13">
        <v>2771</v>
      </c>
      <c r="J43" s="13">
        <v>3024</v>
      </c>
      <c r="K43" s="13">
        <v>3439.5059610989224</v>
      </c>
      <c r="L43" s="13">
        <v>2400.9</v>
      </c>
      <c r="M43" s="13">
        <v>3916.0000000000005</v>
      </c>
      <c r="N43" s="13">
        <v>3515.3619282947416</v>
      </c>
      <c r="O43" s="13">
        <v>2690</v>
      </c>
      <c r="Q43" s="15">
        <v>41</v>
      </c>
      <c r="R43" s="21" t="s">
        <v>70</v>
      </c>
      <c r="S43" s="12">
        <v>78776</v>
      </c>
      <c r="T43" s="17">
        <v>1125</v>
      </c>
      <c r="U43" s="17">
        <v>1716</v>
      </c>
      <c r="V43" s="17">
        <v>1240.0000000000002</v>
      </c>
      <c r="W43" s="18">
        <v>1150</v>
      </c>
      <c r="X43" s="18">
        <v>849.5867768595042</v>
      </c>
      <c r="Y43" s="18">
        <v>342.87685576455635</v>
      </c>
      <c r="Z43" s="19">
        <v>2500</v>
      </c>
      <c r="AA43" s="19">
        <v>1800</v>
      </c>
      <c r="AB43" s="19">
        <v>825.23445843297918</v>
      </c>
      <c r="AC43" s="22">
        <v>2125.4132231404956</v>
      </c>
      <c r="AD43" s="19">
        <v>1800</v>
      </c>
      <c r="AE43" s="19">
        <v>1800</v>
      </c>
      <c r="AF43" s="19">
        <v>1000</v>
      </c>
    </row>
    <row r="44" spans="1:32" s="14" customFormat="1" ht="12" customHeight="1" outlineLevel="1" x14ac:dyDescent="0.25">
      <c r="A44" s="10">
        <v>64</v>
      </c>
      <c r="B44" s="11" t="s">
        <v>80</v>
      </c>
      <c r="C44" s="10">
        <v>78763</v>
      </c>
      <c r="D44" s="12" t="s">
        <v>54</v>
      </c>
      <c r="E44" s="13">
        <v>3040</v>
      </c>
      <c r="F44" s="13">
        <v>6560</v>
      </c>
      <c r="G44" s="13">
        <v>4800</v>
      </c>
      <c r="H44" s="13">
        <v>7027.5073721681338</v>
      </c>
      <c r="I44" s="13">
        <v>8364</v>
      </c>
      <c r="J44" s="13">
        <v>4032</v>
      </c>
      <c r="K44" s="13">
        <v>4751.4824617242848</v>
      </c>
      <c r="L44" s="13">
        <v>4741.3999999999996</v>
      </c>
      <c r="M44" s="13">
        <v>4312</v>
      </c>
      <c r="N44" s="13">
        <v>3779.7918078567354</v>
      </c>
      <c r="O44" s="13">
        <v>1840</v>
      </c>
      <c r="Q44" s="15">
        <v>42</v>
      </c>
      <c r="R44" s="21" t="s">
        <v>71</v>
      </c>
      <c r="S44" s="12">
        <v>78782</v>
      </c>
      <c r="T44" s="17">
        <v>50</v>
      </c>
      <c r="U44" s="17">
        <v>60.266666666666666</v>
      </c>
      <c r="V44" s="17">
        <v>108.41176470588235</v>
      </c>
      <c r="W44" s="18">
        <v>31.5</v>
      </c>
      <c r="X44" s="18">
        <v>61.147058823529413</v>
      </c>
      <c r="Y44" s="18">
        <v>54.970588235294109</v>
      </c>
      <c r="Z44" s="19">
        <v>157.5</v>
      </c>
      <c r="AA44" s="19">
        <v>111.58823529411764</v>
      </c>
      <c r="AB44" s="19">
        <v>118.79411764705881</v>
      </c>
      <c r="AC44" s="20">
        <v>96.35294117647058</v>
      </c>
      <c r="AD44" s="19">
        <v>250</v>
      </c>
      <c r="AE44" s="19">
        <v>270</v>
      </c>
      <c r="AF44" s="19">
        <v>200</v>
      </c>
    </row>
    <row r="45" spans="1:32" s="14" customFormat="1" ht="12" customHeight="1" outlineLevel="1" x14ac:dyDescent="0.25">
      <c r="A45" s="10">
        <v>65</v>
      </c>
      <c r="B45" s="11" t="s">
        <v>81</v>
      </c>
      <c r="C45" s="10">
        <v>78786</v>
      </c>
      <c r="D45" s="12" t="s">
        <v>54</v>
      </c>
      <c r="E45" s="13">
        <v>63</v>
      </c>
      <c r="F45" s="13">
        <v>75.599999999999994</v>
      </c>
      <c r="G45" s="13">
        <v>42.739039219365722</v>
      </c>
      <c r="H45" s="13">
        <v>66.827617274957348</v>
      </c>
      <c r="I45" s="13">
        <v>64.259999999999991</v>
      </c>
      <c r="J45" s="13">
        <v>68.039999999999992</v>
      </c>
      <c r="K45" s="13">
        <v>178.71247467977906</v>
      </c>
      <c r="L45" s="13">
        <v>133.18199999999999</v>
      </c>
      <c r="M45" s="13">
        <v>166.32</v>
      </c>
      <c r="N45" s="13">
        <v>29.398380727774608</v>
      </c>
      <c r="O45" s="13">
        <v>88.2</v>
      </c>
      <c r="Q45" s="15">
        <v>43</v>
      </c>
      <c r="R45" s="21" t="s">
        <v>72</v>
      </c>
      <c r="S45" s="12">
        <v>78783</v>
      </c>
      <c r="T45" s="17">
        <v>1539</v>
      </c>
      <c r="U45" s="17">
        <v>1369.838709677419</v>
      </c>
      <c r="V45" s="17">
        <v>1995.7164925034078</v>
      </c>
      <c r="W45" s="18">
        <v>28.5</v>
      </c>
      <c r="X45" s="18">
        <v>966.19014084507046</v>
      </c>
      <c r="Y45" s="18">
        <v>338.8812951362566</v>
      </c>
      <c r="Z45" s="19">
        <v>1400</v>
      </c>
      <c r="AA45" s="19">
        <v>500</v>
      </c>
      <c r="AB45" s="19">
        <v>128.69797256858664</v>
      </c>
      <c r="AC45" s="22">
        <v>686.80985915492954</v>
      </c>
      <c r="AD45" s="19">
        <v>500</v>
      </c>
      <c r="AE45" s="19">
        <v>720</v>
      </c>
      <c r="AF45" s="19">
        <v>400</v>
      </c>
    </row>
    <row r="46" spans="1:32" s="14" customFormat="1" ht="12" customHeight="1" outlineLevel="1" x14ac:dyDescent="0.25">
      <c r="A46" s="10">
        <v>66</v>
      </c>
      <c r="B46" s="11" t="s">
        <v>82</v>
      </c>
      <c r="C46" s="10">
        <v>78787</v>
      </c>
      <c r="D46" s="12" t="s">
        <v>54</v>
      </c>
      <c r="E46" s="13">
        <v>388</v>
      </c>
      <c r="F46" s="13">
        <v>752.4</v>
      </c>
      <c r="G46" s="13">
        <v>928.04770876337</v>
      </c>
      <c r="H46" s="13">
        <v>634.86236411209472</v>
      </c>
      <c r="I46" s="13">
        <v>174.42000000000002</v>
      </c>
      <c r="J46" s="13">
        <v>287.27999999999997</v>
      </c>
      <c r="K46" s="13">
        <v>808.46119497995301</v>
      </c>
      <c r="L46" s="13">
        <v>86.070000000000007</v>
      </c>
      <c r="M46" s="13">
        <v>125.4</v>
      </c>
      <c r="N46" s="13">
        <v>44.330891573628378</v>
      </c>
      <c r="O46" s="13">
        <v>433.2</v>
      </c>
      <c r="Q46" s="15">
        <v>44</v>
      </c>
      <c r="R46" s="21" t="s">
        <v>73</v>
      </c>
      <c r="S46" s="12">
        <v>78784</v>
      </c>
      <c r="T46" s="17">
        <v>675</v>
      </c>
      <c r="U46" s="17">
        <v>1485.3678929765888</v>
      </c>
      <c r="V46" s="17">
        <v>896.37691736528473</v>
      </c>
      <c r="W46" s="18">
        <v>2050</v>
      </c>
      <c r="X46" s="18">
        <v>1078.4060721062617</v>
      </c>
      <c r="Y46" s="18">
        <v>846.02554641928441</v>
      </c>
      <c r="Z46" s="19">
        <v>1900</v>
      </c>
      <c r="AA46" s="19">
        <v>1800</v>
      </c>
      <c r="AB46" s="19">
        <v>1317.0179109257067</v>
      </c>
      <c r="AC46" s="22">
        <v>1246.5939278937383</v>
      </c>
      <c r="AD46" s="19">
        <v>1800</v>
      </c>
      <c r="AE46" s="19">
        <v>2700</v>
      </c>
      <c r="AF46" s="19">
        <v>1500</v>
      </c>
    </row>
    <row r="47" spans="1:32" s="14" customFormat="1" ht="12" customHeight="1" outlineLevel="1" x14ac:dyDescent="0.25">
      <c r="A47" s="10">
        <v>67</v>
      </c>
      <c r="B47" s="11" t="s">
        <v>83</v>
      </c>
      <c r="C47" s="10">
        <v>78788</v>
      </c>
      <c r="D47" s="12" t="s">
        <v>54</v>
      </c>
      <c r="E47" s="13">
        <v>450</v>
      </c>
      <c r="F47" s="13">
        <v>1060</v>
      </c>
      <c r="G47" s="13">
        <v>373.11859635954204</v>
      </c>
      <c r="H47" s="13">
        <v>662.9723936007673</v>
      </c>
      <c r="I47" s="13">
        <v>901</v>
      </c>
      <c r="J47" s="13">
        <v>1188</v>
      </c>
      <c r="K47" s="13">
        <v>904.20002070126304</v>
      </c>
      <c r="L47" s="13">
        <v>453</v>
      </c>
      <c r="M47" s="13">
        <v>990.00000000000011</v>
      </c>
      <c r="N47" s="13">
        <v>637.74265070833803</v>
      </c>
      <c r="O47" s="13">
        <v>270</v>
      </c>
      <c r="Q47" s="15">
        <v>45</v>
      </c>
      <c r="R47" s="21" t="s">
        <v>74</v>
      </c>
      <c r="S47" s="12">
        <v>78778</v>
      </c>
      <c r="T47" s="17">
        <v>31.5</v>
      </c>
      <c r="U47" s="17">
        <v>55.396551724137929</v>
      </c>
      <c r="V47" s="17">
        <v>46.761206896551727</v>
      </c>
      <c r="W47" s="18">
        <v>252</v>
      </c>
      <c r="X47" s="18">
        <v>113.40000000000002</v>
      </c>
      <c r="Y47" s="18">
        <v>75.600000000000009</v>
      </c>
      <c r="Z47" s="19">
        <v>252</v>
      </c>
      <c r="AA47" s="19">
        <v>102.9</v>
      </c>
      <c r="AB47" s="19">
        <v>142.04042553191488</v>
      </c>
      <c r="AC47" s="20">
        <v>138.59999999999997</v>
      </c>
      <c r="AD47" s="19">
        <v>200</v>
      </c>
      <c r="AE47" s="19">
        <v>255.67276595744679</v>
      </c>
      <c r="AF47" s="19">
        <f>VLOOKUP(S47,'[1]без тендера 15.06.2026'!$A$168:$AQ$227,43,0)</f>
        <v>221.86038931643279</v>
      </c>
    </row>
    <row r="48" spans="1:32" s="14" customFormat="1" ht="12" customHeight="1" outlineLevel="1" x14ac:dyDescent="0.25">
      <c r="A48" s="10">
        <v>68</v>
      </c>
      <c r="B48" s="11" t="s">
        <v>84</v>
      </c>
      <c r="C48" s="10">
        <v>78765</v>
      </c>
      <c r="D48" s="12" t="s">
        <v>54</v>
      </c>
      <c r="E48" s="13">
        <v>164</v>
      </c>
      <c r="F48" s="13">
        <v>277.2</v>
      </c>
      <c r="G48" s="13">
        <v>113.97077125164193</v>
      </c>
      <c r="H48" s="13">
        <v>217.18975614361136</v>
      </c>
      <c r="I48" s="13">
        <v>321.3</v>
      </c>
      <c r="J48" s="13">
        <v>430.92</v>
      </c>
      <c r="K48" s="13">
        <v>335.08589002458569</v>
      </c>
      <c r="L48" s="13">
        <v>209.286</v>
      </c>
      <c r="M48" s="13">
        <v>360.36000000000007</v>
      </c>
      <c r="N48" s="13">
        <v>323.38218800552073</v>
      </c>
      <c r="O48" s="13">
        <v>239.4</v>
      </c>
      <c r="Q48" s="15">
        <v>46</v>
      </c>
      <c r="R48" s="21" t="s">
        <v>75</v>
      </c>
      <c r="S48" s="12">
        <v>78779</v>
      </c>
      <c r="T48" s="17">
        <v>1396.5</v>
      </c>
      <c r="U48" s="17">
        <v>1029.6016483516482</v>
      </c>
      <c r="V48" s="17">
        <v>721.31284915084916</v>
      </c>
      <c r="W48" s="18">
        <v>1937.9999999999998</v>
      </c>
      <c r="X48" s="18">
        <v>829.38109090909074</v>
      </c>
      <c r="Y48" s="18">
        <v>415.31643506493504</v>
      </c>
      <c r="Z48" s="19">
        <v>1300</v>
      </c>
      <c r="AA48" s="19">
        <v>551.92211688311681</v>
      </c>
      <c r="AB48" s="19">
        <v>125.05195970569355</v>
      </c>
      <c r="AC48" s="20">
        <v>738.11890909090926</v>
      </c>
      <c r="AD48" s="19">
        <v>551.92211688311681</v>
      </c>
      <c r="AE48" s="19">
        <v>225.09352747024838</v>
      </c>
      <c r="AF48" s="19">
        <f>VLOOKUP(S48,'[1]без тендера 15.06.2026'!$A$168:$AQ$227,43,0)</f>
        <v>179.92277566539926</v>
      </c>
    </row>
    <row r="49" spans="1:34" s="14" customFormat="1" ht="12" customHeight="1" outlineLevel="1" x14ac:dyDescent="0.25">
      <c r="A49" s="10">
        <v>69</v>
      </c>
      <c r="B49" s="11" t="s">
        <v>85</v>
      </c>
      <c r="C49" s="10">
        <v>78766</v>
      </c>
      <c r="D49" s="12" t="s">
        <v>54</v>
      </c>
      <c r="E49" s="13">
        <v>285</v>
      </c>
      <c r="F49" s="13">
        <v>775.2</v>
      </c>
      <c r="G49" s="13">
        <v>425.35519984987792</v>
      </c>
      <c r="H49" s="13">
        <v>695.32544640848471</v>
      </c>
      <c r="I49" s="13">
        <v>1240.32</v>
      </c>
      <c r="J49" s="13">
        <v>1210.68</v>
      </c>
      <c r="K49" s="13">
        <v>384.01906761547764</v>
      </c>
      <c r="L49" s="13">
        <v>344.28000000000003</v>
      </c>
      <c r="M49" s="13">
        <v>451.44</v>
      </c>
      <c r="N49" s="13">
        <v>744.7589784369568</v>
      </c>
      <c r="O49" s="13">
        <v>171</v>
      </c>
      <c r="Q49" s="15">
        <v>47</v>
      </c>
      <c r="R49" s="21" t="s">
        <v>76</v>
      </c>
      <c r="S49" s="12">
        <v>78780</v>
      </c>
      <c r="T49" s="17">
        <v>500</v>
      </c>
      <c r="U49" s="17">
        <v>1000</v>
      </c>
      <c r="V49" s="17">
        <v>255.59429477020601</v>
      </c>
      <c r="W49" s="18">
        <v>2275</v>
      </c>
      <c r="X49" s="18">
        <v>414.58003169572106</v>
      </c>
      <c r="Y49" s="18">
        <v>283.27439711301628</v>
      </c>
      <c r="Z49" s="19">
        <v>2050</v>
      </c>
      <c r="AA49" s="19">
        <v>1000</v>
      </c>
      <c r="AB49" s="19">
        <v>480.95745419242212</v>
      </c>
      <c r="AC49" s="22">
        <v>1635.4199683042789</v>
      </c>
      <c r="AD49" s="19">
        <v>1000</v>
      </c>
      <c r="AE49" s="19">
        <v>865.72341754635977</v>
      </c>
      <c r="AF49" s="19">
        <v>400</v>
      </c>
    </row>
    <row r="50" spans="1:34" s="14" customFormat="1" ht="12" customHeight="1" outlineLevel="1" x14ac:dyDescent="0.25">
      <c r="A50" s="10">
        <v>70</v>
      </c>
      <c r="B50" s="11" t="s">
        <v>86</v>
      </c>
      <c r="C50" s="10">
        <v>78767</v>
      </c>
      <c r="D50" s="12" t="s">
        <v>54</v>
      </c>
      <c r="E50" s="13">
        <v>650</v>
      </c>
      <c r="F50" s="13">
        <v>1880</v>
      </c>
      <c r="G50" s="13">
        <v>825.38356164383538</v>
      </c>
      <c r="H50" s="13">
        <v>1471.7987137937034</v>
      </c>
      <c r="I50" s="13">
        <v>1581</v>
      </c>
      <c r="J50" s="13">
        <v>1584</v>
      </c>
      <c r="K50" s="13">
        <v>2233.905933497238</v>
      </c>
      <c r="L50" s="13">
        <v>770.1</v>
      </c>
      <c r="M50" s="13">
        <v>1342</v>
      </c>
      <c r="N50" s="13">
        <v>979.94602425915366</v>
      </c>
      <c r="O50" s="13">
        <v>870</v>
      </c>
      <c r="Q50" s="15">
        <v>48</v>
      </c>
      <c r="R50" s="21" t="s">
        <v>77</v>
      </c>
      <c r="S50" s="12">
        <v>78760</v>
      </c>
      <c r="T50" s="17">
        <v>220.5</v>
      </c>
      <c r="U50" s="17">
        <v>417.42580645161291</v>
      </c>
      <c r="V50" s="17">
        <v>310.22861150070133</v>
      </c>
      <c r="W50" s="18">
        <v>315</v>
      </c>
      <c r="X50" s="18">
        <v>230.08695652173915</v>
      </c>
      <c r="Y50" s="18">
        <v>209.61311717022841</v>
      </c>
      <c r="Z50" s="19">
        <v>350</v>
      </c>
      <c r="AA50" s="19">
        <v>327.99926308032423</v>
      </c>
      <c r="AB50" s="19">
        <v>214.12375683726532</v>
      </c>
      <c r="AC50" s="20">
        <v>179.41304347826079</v>
      </c>
      <c r="AD50" s="19">
        <v>327.99926308032423</v>
      </c>
      <c r="AE50" s="19">
        <v>360</v>
      </c>
      <c r="AF50" s="19">
        <v>200</v>
      </c>
    </row>
    <row r="51" spans="1:34" s="14" customFormat="1" ht="12" customHeight="1" outlineLevel="1" x14ac:dyDescent="0.25">
      <c r="A51" s="10">
        <v>71</v>
      </c>
      <c r="B51" s="11" t="s">
        <v>87</v>
      </c>
      <c r="C51" s="10">
        <v>78768</v>
      </c>
      <c r="D51" s="12" t="s">
        <v>54</v>
      </c>
      <c r="E51" s="13">
        <v>500</v>
      </c>
      <c r="F51" s="13">
        <v>880</v>
      </c>
      <c r="G51" s="13">
        <v>565.33120660536679</v>
      </c>
      <c r="H51" s="13">
        <v>1803.284910594087</v>
      </c>
      <c r="I51" s="13">
        <v>1904</v>
      </c>
      <c r="J51" s="13">
        <v>2304</v>
      </c>
      <c r="K51" s="13">
        <v>1276.5176762841361</v>
      </c>
      <c r="L51" s="13">
        <v>543.6</v>
      </c>
      <c r="M51" s="13">
        <v>2904.0000000000005</v>
      </c>
      <c r="N51" s="13">
        <v>606.63325311280937</v>
      </c>
      <c r="O51" s="13">
        <v>640</v>
      </c>
      <c r="Q51" s="15">
        <v>49</v>
      </c>
      <c r="R51" s="21" t="s">
        <v>78</v>
      </c>
      <c r="S51" s="12">
        <v>78761</v>
      </c>
      <c r="T51" s="17">
        <v>3192</v>
      </c>
      <c r="U51" s="17">
        <v>2309.2683385579935</v>
      </c>
      <c r="V51" s="17">
        <v>2584.4699844938341</v>
      </c>
      <c r="W51" s="18">
        <v>855</v>
      </c>
      <c r="X51" s="18">
        <v>1454.049250535332</v>
      </c>
      <c r="Y51" s="18">
        <v>522.59368833830354</v>
      </c>
      <c r="Z51" s="19">
        <v>2100</v>
      </c>
      <c r="AA51" s="19">
        <v>1500</v>
      </c>
      <c r="AB51" s="19">
        <v>531.66035391022194</v>
      </c>
      <c r="AC51" s="22">
        <v>1139.450749464668</v>
      </c>
      <c r="AD51" s="19">
        <v>1500</v>
      </c>
      <c r="AE51" s="19">
        <v>1260</v>
      </c>
      <c r="AF51" s="19">
        <v>700</v>
      </c>
    </row>
    <row r="52" spans="1:34" x14ac:dyDescent="0.2">
      <c r="A52" s="10">
        <v>72</v>
      </c>
      <c r="B52" s="11" t="s">
        <v>68</v>
      </c>
      <c r="C52" s="23">
        <v>65156</v>
      </c>
      <c r="D52" s="24" t="s">
        <v>17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13">
        <v>1238.2</v>
      </c>
      <c r="M52" s="13">
        <v>1760.0000000000002</v>
      </c>
      <c r="N52" s="13">
        <v>552.44890782612276</v>
      </c>
      <c r="O52" s="13">
        <v>331.46934469567367</v>
      </c>
      <c r="P52" s="14"/>
      <c r="Q52" s="15">
        <v>50</v>
      </c>
      <c r="R52" s="21" t="s">
        <v>79</v>
      </c>
      <c r="S52" s="12">
        <v>78762</v>
      </c>
      <c r="T52" s="17">
        <v>3575</v>
      </c>
      <c r="U52" s="17">
        <v>4343.9524517087666</v>
      </c>
      <c r="V52" s="17">
        <v>3337.1842155094914</v>
      </c>
      <c r="W52" s="18">
        <v>5175</v>
      </c>
      <c r="X52" s="18">
        <v>3392.0149253731342</v>
      </c>
      <c r="Y52" s="18">
        <v>2618.8559540929591</v>
      </c>
      <c r="Z52" s="19">
        <v>6500</v>
      </c>
      <c r="AA52" s="19">
        <v>4500</v>
      </c>
      <c r="AB52" s="19">
        <v>4397.5125832175218</v>
      </c>
      <c r="AC52" s="22">
        <v>4507.9850746268658</v>
      </c>
      <c r="AD52" s="19">
        <v>4500</v>
      </c>
      <c r="AE52" s="19">
        <v>7200</v>
      </c>
      <c r="AF52" s="19">
        <f>VLOOKUP(S52,'[1]без тендера 15.06.2026'!$A$168:$AQ$227,43,0)</f>
        <v>5500.301144073911</v>
      </c>
      <c r="AH52" s="14"/>
    </row>
    <row r="53" spans="1:34" x14ac:dyDescent="0.2">
      <c r="A53" s="10">
        <v>73</v>
      </c>
      <c r="B53" s="11" t="s">
        <v>88</v>
      </c>
      <c r="C53" s="23">
        <v>79838</v>
      </c>
      <c r="D53" s="24" t="s">
        <v>17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13">
        <v>332.2</v>
      </c>
      <c r="M53" s="13">
        <v>268.41759999999999</v>
      </c>
      <c r="N53" s="13">
        <v>148.21799966066706</v>
      </c>
      <c r="O53" s="13">
        <v>88.930799796400237</v>
      </c>
      <c r="P53" s="14"/>
      <c r="Q53" s="15">
        <v>51</v>
      </c>
      <c r="R53" s="21" t="s">
        <v>80</v>
      </c>
      <c r="S53" s="12">
        <v>78763</v>
      </c>
      <c r="T53" s="17">
        <v>2000</v>
      </c>
      <c r="U53" s="17">
        <v>5500</v>
      </c>
      <c r="V53" s="17">
        <v>3384.7808764940237</v>
      </c>
      <c r="W53" s="18">
        <v>4950</v>
      </c>
      <c r="X53" s="18">
        <v>3551.0358565737047</v>
      </c>
      <c r="Y53" s="18">
        <v>1706.1699149348549</v>
      </c>
      <c r="Z53" s="19">
        <v>3400</v>
      </c>
      <c r="AA53" s="19">
        <v>3000</v>
      </c>
      <c r="AB53" s="19">
        <v>1616.0809378812419</v>
      </c>
      <c r="AC53" s="22">
        <v>598.96414342629532</v>
      </c>
      <c r="AD53" s="19">
        <v>3000</v>
      </c>
      <c r="AE53" s="19">
        <v>3600</v>
      </c>
      <c r="AF53" s="19">
        <v>2000</v>
      </c>
      <c r="AH53" s="14"/>
    </row>
    <row r="54" spans="1:34" x14ac:dyDescent="0.2">
      <c r="A54" s="10">
        <v>74</v>
      </c>
      <c r="B54" s="11" t="s">
        <v>89</v>
      </c>
      <c r="C54" s="23">
        <v>71261</v>
      </c>
      <c r="D54" s="24" t="s">
        <v>17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13">
        <v>513.4</v>
      </c>
      <c r="M54" s="13">
        <v>264</v>
      </c>
      <c r="N54" s="13">
        <v>229.0641812937582</v>
      </c>
      <c r="O54" s="13">
        <v>137.43850877625491</v>
      </c>
      <c r="P54" s="14"/>
      <c r="Q54" s="15">
        <v>52</v>
      </c>
      <c r="R54" s="21" t="s">
        <v>81</v>
      </c>
      <c r="S54" s="12">
        <v>78786</v>
      </c>
      <c r="T54" s="17">
        <v>50</v>
      </c>
      <c r="U54" s="17">
        <v>80.984615384615381</v>
      </c>
      <c r="V54" s="17">
        <v>103.7</v>
      </c>
      <c r="W54" s="18">
        <v>220.5</v>
      </c>
      <c r="X54" s="18">
        <v>186.55</v>
      </c>
      <c r="Y54" s="18">
        <v>113.77413793103449</v>
      </c>
      <c r="Z54" s="19">
        <v>157.5</v>
      </c>
      <c r="AA54" s="19">
        <v>151.61034482758618</v>
      </c>
      <c r="AB54" s="19">
        <v>120.48194192377494</v>
      </c>
      <c r="AC54" s="20">
        <v>-29.050000000000011</v>
      </c>
      <c r="AD54" s="19">
        <v>151.61034482758618</v>
      </c>
      <c r="AE54" s="19">
        <v>216.86749546279489</v>
      </c>
      <c r="AF54" s="19">
        <f>VLOOKUP(S54,'[1]без тендера 15.06.2026'!$A$168:$AQ$227,43,0)</f>
        <v>187.63105263157897</v>
      </c>
      <c r="AH54" s="14"/>
    </row>
    <row r="55" spans="1:34" x14ac:dyDescent="0.2">
      <c r="A55" s="10">
        <v>75</v>
      </c>
      <c r="B55" s="11" t="s">
        <v>90</v>
      </c>
      <c r="C55" s="23">
        <v>71260</v>
      </c>
      <c r="D55" s="24" t="s">
        <v>17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13">
        <v>1087.2</v>
      </c>
      <c r="M55" s="13">
        <v>878.45760000000007</v>
      </c>
      <c r="N55" s="13">
        <v>485.07708979854669</v>
      </c>
      <c r="O55" s="13">
        <v>291.04625387912802</v>
      </c>
      <c r="P55" s="14"/>
      <c r="Q55" s="15">
        <v>53</v>
      </c>
      <c r="R55" s="21" t="s">
        <v>82</v>
      </c>
      <c r="S55" s="12">
        <v>78787</v>
      </c>
      <c r="T55" s="17">
        <v>1282.5</v>
      </c>
      <c r="U55" s="17">
        <v>1000.8250000000002</v>
      </c>
      <c r="V55" s="17">
        <v>599.52524752475244</v>
      </c>
      <c r="W55" s="18">
        <v>1282.5</v>
      </c>
      <c r="X55" s="18">
        <v>535.57425742574264</v>
      </c>
      <c r="Y55" s="18">
        <v>150.08118811881187</v>
      </c>
      <c r="Z55" s="19">
        <v>900</v>
      </c>
      <c r="AA55" s="19">
        <v>204.05247524752477</v>
      </c>
      <c r="AB55" s="19">
        <v>566.05423749922159</v>
      </c>
      <c r="AC55" s="22">
        <v>547.42574257425736</v>
      </c>
      <c r="AD55" s="19">
        <v>350</v>
      </c>
      <c r="AE55" s="19">
        <v>630</v>
      </c>
      <c r="AF55" s="19">
        <f>VLOOKUP(S55,'[1]без тендера 15.06.2026'!$A$168:$AQ$227,43,0)</f>
        <v>183.43525080533826</v>
      </c>
      <c r="AH55" s="14"/>
    </row>
    <row r="56" spans="1:34" ht="12.75" customHeight="1" x14ac:dyDescent="0.2">
      <c r="A56" s="10">
        <v>76</v>
      </c>
      <c r="B56" s="11" t="s">
        <v>91</v>
      </c>
      <c r="C56" s="23">
        <v>71259</v>
      </c>
      <c r="D56" s="24" t="s">
        <v>17</v>
      </c>
      <c r="E56" s="25">
        <v>0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13">
        <v>332.2</v>
      </c>
      <c r="M56" s="13">
        <v>268.41759999999999</v>
      </c>
      <c r="N56" s="13">
        <v>148.21799966066706</v>
      </c>
      <c r="O56" s="13">
        <v>88.930799796400237</v>
      </c>
      <c r="P56" s="14"/>
      <c r="Q56" s="15">
        <v>54</v>
      </c>
      <c r="R56" s="21" t="s">
        <v>83</v>
      </c>
      <c r="S56" s="12">
        <v>78788</v>
      </c>
      <c r="T56" s="17">
        <v>275</v>
      </c>
      <c r="U56" s="17">
        <v>696.89922480620157</v>
      </c>
      <c r="V56" s="17">
        <v>474.38592491260073</v>
      </c>
      <c r="W56" s="18">
        <v>950</v>
      </c>
      <c r="X56" s="18">
        <v>550.19607843137248</v>
      </c>
      <c r="Y56" s="18">
        <v>377.36335559864972</v>
      </c>
      <c r="Z56" s="19">
        <v>1300</v>
      </c>
      <c r="AA56" s="19">
        <v>1400</v>
      </c>
      <c r="AB56" s="19">
        <v>651.68413736365062</v>
      </c>
      <c r="AC56" s="22">
        <v>999.80392156862752</v>
      </c>
      <c r="AD56" s="19">
        <v>1400</v>
      </c>
      <c r="AE56" s="19">
        <v>720</v>
      </c>
      <c r="AF56" s="19">
        <v>400</v>
      </c>
      <c r="AH56" s="14"/>
    </row>
    <row r="57" spans="1:34" x14ac:dyDescent="0.2">
      <c r="A57" s="10">
        <v>77</v>
      </c>
      <c r="B57" s="11" t="s">
        <v>92</v>
      </c>
      <c r="C57" s="23">
        <v>71258</v>
      </c>
      <c r="D57" s="24" t="s">
        <v>17</v>
      </c>
      <c r="E57" s="25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13">
        <v>755</v>
      </c>
      <c r="M57" s="13">
        <v>610.04000000000008</v>
      </c>
      <c r="N57" s="13">
        <v>336.85909013787972</v>
      </c>
      <c r="O57" s="13">
        <v>202.11545408272784</v>
      </c>
      <c r="P57" s="14"/>
      <c r="Q57" s="15">
        <v>55</v>
      </c>
      <c r="R57" s="21" t="s">
        <v>84</v>
      </c>
      <c r="S57" s="12">
        <v>78765</v>
      </c>
      <c r="T57" s="17">
        <v>63</v>
      </c>
      <c r="U57" s="17">
        <v>129.51627906976742</v>
      </c>
      <c r="V57" s="17">
        <v>134.98973233874506</v>
      </c>
      <c r="W57" s="18">
        <v>409.49999999999994</v>
      </c>
      <c r="X57" s="18">
        <v>276.24905660377357</v>
      </c>
      <c r="Y57" s="18">
        <v>228.22641509433956</v>
      </c>
      <c r="Z57" s="19">
        <v>346.5</v>
      </c>
      <c r="AA57" s="19">
        <v>346.99498732751334</v>
      </c>
      <c r="AB57" s="19">
        <v>248.03581041698047</v>
      </c>
      <c r="AC57" s="20">
        <v>70.250943396226432</v>
      </c>
      <c r="AD57" s="19">
        <v>346.99498732751334</v>
      </c>
      <c r="AE57" s="19">
        <v>360</v>
      </c>
      <c r="AF57" s="19">
        <v>200</v>
      </c>
      <c r="AH57" s="14"/>
    </row>
    <row r="58" spans="1:34" x14ac:dyDescent="0.2">
      <c r="A58" s="10">
        <v>78</v>
      </c>
      <c r="B58" s="11" t="s">
        <v>93</v>
      </c>
      <c r="C58" s="23">
        <v>71257</v>
      </c>
      <c r="D58" s="24" t="s">
        <v>17</v>
      </c>
      <c r="E58" s="25">
        <v>0</v>
      </c>
      <c r="F58" s="25">
        <v>0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13">
        <v>332.2</v>
      </c>
      <c r="M58" s="13">
        <v>268.41759999999999</v>
      </c>
      <c r="N58" s="13">
        <v>148.21799966066706</v>
      </c>
      <c r="O58" s="13">
        <v>88.930799796400237</v>
      </c>
      <c r="P58" s="14"/>
      <c r="Q58" s="15">
        <v>56</v>
      </c>
      <c r="R58" s="21" t="s">
        <v>85</v>
      </c>
      <c r="S58" s="12">
        <v>78766</v>
      </c>
      <c r="T58" s="17">
        <v>1567.5</v>
      </c>
      <c r="U58" s="17">
        <v>1560.2422360248447</v>
      </c>
      <c r="V58" s="17">
        <v>1455.9288951097892</v>
      </c>
      <c r="W58" s="18">
        <v>1111.5</v>
      </c>
      <c r="X58" s="18">
        <v>1122.6591549295774</v>
      </c>
      <c r="Y58" s="18">
        <v>508.63526448362717</v>
      </c>
      <c r="Z58" s="19">
        <v>1800</v>
      </c>
      <c r="AA58" s="19">
        <v>1000</v>
      </c>
      <c r="AB58" s="19">
        <v>309.23079325947651</v>
      </c>
      <c r="AC58" s="22">
        <v>1100.3408450704226</v>
      </c>
      <c r="AD58" s="19">
        <v>1000</v>
      </c>
      <c r="AE58" s="19">
        <v>540</v>
      </c>
      <c r="AF58" s="19">
        <v>300</v>
      </c>
      <c r="AH58" s="14"/>
    </row>
    <row r="59" spans="1:34" x14ac:dyDescent="0.2">
      <c r="A59" s="10">
        <v>79</v>
      </c>
      <c r="B59" s="11" t="s">
        <v>94</v>
      </c>
      <c r="C59" s="23">
        <v>71256</v>
      </c>
      <c r="D59" s="24" t="s">
        <v>17</v>
      </c>
      <c r="E59" s="25">
        <v>0</v>
      </c>
      <c r="F59" s="25">
        <v>0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13">
        <v>604</v>
      </c>
      <c r="M59" s="13">
        <v>488.03200000000004</v>
      </c>
      <c r="N59" s="13">
        <v>269.48727211030376</v>
      </c>
      <c r="O59" s="13">
        <v>161.69236326618224</v>
      </c>
      <c r="P59" s="14"/>
      <c r="Q59" s="15">
        <v>57</v>
      </c>
      <c r="R59" s="21" t="s">
        <v>86</v>
      </c>
      <c r="S59" s="12">
        <v>78767</v>
      </c>
      <c r="T59" s="17">
        <v>375</v>
      </c>
      <c r="U59" s="17">
        <v>1091.4853556485355</v>
      </c>
      <c r="V59" s="17">
        <v>562.60001304619277</v>
      </c>
      <c r="W59" s="18">
        <v>1375</v>
      </c>
      <c r="X59" s="18">
        <v>603.53006681514478</v>
      </c>
      <c r="Y59" s="18">
        <v>294.1315547736865</v>
      </c>
      <c r="Z59" s="19">
        <v>2200</v>
      </c>
      <c r="AA59" s="19">
        <v>1300</v>
      </c>
      <c r="AB59" s="19">
        <v>1083.6953933285499</v>
      </c>
      <c r="AC59" s="22">
        <v>2046.4699331848551</v>
      </c>
      <c r="AD59" s="19">
        <v>2000</v>
      </c>
      <c r="AE59" s="19">
        <v>2700</v>
      </c>
      <c r="AF59" s="19">
        <v>1500</v>
      </c>
      <c r="AH59" s="14"/>
    </row>
    <row r="60" spans="1:34" x14ac:dyDescent="0.2">
      <c r="A60" s="10">
        <v>80</v>
      </c>
      <c r="B60" s="11" t="s">
        <v>95</v>
      </c>
      <c r="C60" s="23">
        <v>81726</v>
      </c>
      <c r="D60" s="26" t="s">
        <v>96</v>
      </c>
      <c r="E60" s="25">
        <v>0</v>
      </c>
      <c r="F60" s="25">
        <v>0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13">
        <v>332.2</v>
      </c>
      <c r="M60" s="13">
        <v>440.00000000000006</v>
      </c>
      <c r="N60" s="13">
        <v>148.21799966066706</v>
      </c>
      <c r="O60" s="13">
        <v>88.930799796400237</v>
      </c>
      <c r="P60" s="14"/>
      <c r="Q60" s="15">
        <v>58</v>
      </c>
      <c r="R60" s="21" t="s">
        <v>87</v>
      </c>
      <c r="S60" s="12">
        <v>78768</v>
      </c>
      <c r="T60" s="17">
        <v>550</v>
      </c>
      <c r="U60" s="17">
        <v>1359.625</v>
      </c>
      <c r="V60" s="17">
        <v>847.25657894736844</v>
      </c>
      <c r="W60" s="18">
        <v>2100</v>
      </c>
      <c r="X60" s="18">
        <v>1039.0430622009569</v>
      </c>
      <c r="Y60" s="18">
        <v>486.66527980029122</v>
      </c>
      <c r="Z60" s="19">
        <v>1700</v>
      </c>
      <c r="AA60" s="19">
        <v>1300</v>
      </c>
      <c r="AB60" s="19">
        <v>780.44942223232931</v>
      </c>
      <c r="AC60" s="20">
        <v>760.95693779904309</v>
      </c>
      <c r="AD60" s="19">
        <v>1300</v>
      </c>
      <c r="AE60" s="19">
        <v>1800</v>
      </c>
      <c r="AF60" s="19">
        <v>1000</v>
      </c>
      <c r="AH60" s="14"/>
    </row>
    <row r="61" spans="1:34" ht="22.5" x14ac:dyDescent="0.2">
      <c r="A61" s="10"/>
      <c r="B61" s="11"/>
      <c r="C61" s="23"/>
      <c r="D61" s="27"/>
      <c r="E61" s="25"/>
      <c r="F61" s="25"/>
      <c r="G61" s="25"/>
      <c r="H61" s="25"/>
      <c r="I61" s="25"/>
      <c r="J61" s="25"/>
      <c r="K61" s="25"/>
      <c r="L61" s="13"/>
      <c r="M61" s="13"/>
      <c r="N61" s="13"/>
      <c r="O61" s="13"/>
      <c r="P61" s="14"/>
      <c r="Q61" s="15">
        <v>59</v>
      </c>
      <c r="R61" s="28" t="s">
        <v>94</v>
      </c>
      <c r="S61" s="28">
        <v>71256</v>
      </c>
      <c r="T61" s="28"/>
      <c r="U61" s="28"/>
      <c r="V61" s="28"/>
      <c r="W61" s="29">
        <v>220</v>
      </c>
      <c r="X61" s="29">
        <v>660</v>
      </c>
      <c r="Y61" s="29">
        <v>220</v>
      </c>
      <c r="Z61" s="19">
        <v>660</v>
      </c>
      <c r="AA61" s="19">
        <v>440</v>
      </c>
      <c r="AB61" s="19">
        <v>40</v>
      </c>
      <c r="AD61" s="19">
        <v>440</v>
      </c>
      <c r="AE61" s="19">
        <v>72</v>
      </c>
      <c r="AF61" s="19">
        <v>40</v>
      </c>
      <c r="AH61" s="14"/>
    </row>
    <row r="62" spans="1:34" ht="22.5" x14ac:dyDescent="0.2">
      <c r="A62" s="10"/>
      <c r="B62" s="11"/>
      <c r="C62" s="23"/>
      <c r="D62" s="27"/>
      <c r="E62" s="25"/>
      <c r="F62" s="25"/>
      <c r="G62" s="25"/>
      <c r="H62" s="25"/>
      <c r="I62" s="25"/>
      <c r="J62" s="25"/>
      <c r="K62" s="25"/>
      <c r="L62" s="13"/>
      <c r="M62" s="13"/>
      <c r="N62" s="13"/>
      <c r="O62" s="13"/>
      <c r="P62" s="14"/>
      <c r="Q62" s="15">
        <v>60</v>
      </c>
      <c r="R62" s="28" t="s">
        <v>90</v>
      </c>
      <c r="S62" s="28">
        <v>71260</v>
      </c>
      <c r="T62" s="28"/>
      <c r="U62" s="28"/>
      <c r="V62" s="28"/>
      <c r="W62" s="29">
        <v>220</v>
      </c>
      <c r="X62" s="29">
        <v>880</v>
      </c>
      <c r="Y62" s="29">
        <v>220</v>
      </c>
      <c r="Z62" s="19">
        <v>880</v>
      </c>
      <c r="AA62" s="19">
        <v>440</v>
      </c>
      <c r="AB62" s="19">
        <v>40</v>
      </c>
      <c r="AD62" s="19">
        <v>440</v>
      </c>
      <c r="AE62" s="19">
        <v>72</v>
      </c>
      <c r="AF62" s="19">
        <v>40</v>
      </c>
      <c r="AH62" s="14"/>
    </row>
    <row r="63" spans="1:34" ht="22.5" x14ac:dyDescent="0.2">
      <c r="A63" s="10"/>
      <c r="B63" s="11"/>
      <c r="C63" s="23"/>
      <c r="D63" s="27"/>
      <c r="E63" s="25"/>
      <c r="F63" s="25"/>
      <c r="G63" s="25"/>
      <c r="H63" s="25"/>
      <c r="I63" s="25"/>
      <c r="J63" s="25"/>
      <c r="K63" s="25"/>
      <c r="L63" s="13"/>
      <c r="M63" s="13"/>
      <c r="N63" s="13"/>
      <c r="O63" s="13"/>
      <c r="P63" s="14"/>
      <c r="Q63" s="15">
        <v>61</v>
      </c>
      <c r="R63" s="28" t="s">
        <v>89</v>
      </c>
      <c r="S63" s="28">
        <v>71261</v>
      </c>
      <c r="T63" s="28"/>
      <c r="U63" s="28"/>
      <c r="V63" s="28"/>
      <c r="W63" s="29">
        <v>0</v>
      </c>
      <c r="X63" s="29">
        <v>440</v>
      </c>
      <c r="Y63" s="29">
        <v>220</v>
      </c>
      <c r="Z63" s="19">
        <v>440</v>
      </c>
      <c r="AA63" s="19">
        <v>220</v>
      </c>
      <c r="AB63" s="19">
        <v>40</v>
      </c>
      <c r="AD63" s="19">
        <v>220</v>
      </c>
      <c r="AE63" s="19">
        <v>72</v>
      </c>
      <c r="AF63" s="19">
        <v>40</v>
      </c>
      <c r="AH63" s="14"/>
    </row>
    <row r="64" spans="1:34" x14ac:dyDescent="0.2">
      <c r="A64" s="10"/>
      <c r="B64" s="11"/>
      <c r="C64" s="23"/>
      <c r="D64" s="27"/>
      <c r="E64" s="25"/>
      <c r="F64" s="25"/>
      <c r="G64" s="25"/>
      <c r="H64" s="25"/>
      <c r="I64" s="25"/>
      <c r="J64" s="25"/>
      <c r="K64" s="25"/>
      <c r="L64" s="13"/>
      <c r="M64" s="13"/>
      <c r="N64" s="13"/>
      <c r="O64" s="13"/>
      <c r="P64" s="14"/>
      <c r="Q64" s="15"/>
      <c r="R64" s="30"/>
      <c r="S64" s="14"/>
      <c r="T64" s="31"/>
      <c r="U64" s="31"/>
      <c r="V64" s="31"/>
      <c r="W64" s="32"/>
      <c r="X64" s="32"/>
      <c r="Y64" s="32"/>
    </row>
    <row r="65" spans="1:32" x14ac:dyDescent="0.2">
      <c r="A65" s="10">
        <v>99</v>
      </c>
      <c r="B65" s="11" t="s">
        <v>97</v>
      </c>
      <c r="C65" s="34">
        <v>9836</v>
      </c>
      <c r="E65" s="25"/>
      <c r="F65" s="25"/>
      <c r="G65" s="25"/>
      <c r="H65" s="25"/>
      <c r="I65" s="25"/>
      <c r="J65" s="25"/>
      <c r="K65" s="25"/>
      <c r="L65" s="13"/>
      <c r="M65" s="13">
        <v>440</v>
      </c>
      <c r="N65" s="13">
        <v>440</v>
      </c>
      <c r="O65" s="13">
        <v>440</v>
      </c>
      <c r="P65" s="14"/>
    </row>
    <row r="66" spans="1:32" ht="15" x14ac:dyDescent="0.25">
      <c r="M66" s="35">
        <v>48043.811200000011</v>
      </c>
      <c r="N66" s="35">
        <v>31735.67124840512</v>
      </c>
      <c r="O66" s="35">
        <v>25954.389123885565</v>
      </c>
      <c r="T66" s="36">
        <v>34306</v>
      </c>
      <c r="U66" s="36">
        <v>48958.917690025599</v>
      </c>
      <c r="V66" s="36">
        <v>37349.007334772396</v>
      </c>
      <c r="W66" s="36">
        <v>49966.06</v>
      </c>
      <c r="X66" s="36">
        <v>35768.666833333511</v>
      </c>
      <c r="Y66" s="36">
        <v>19067.465358768164</v>
      </c>
      <c r="Z66" s="37">
        <f>SUM(Z3:Z63)</f>
        <v>66967</v>
      </c>
      <c r="AA66" s="37">
        <f t="shared" ref="AA66:AB66" si="0">SUM(AA3:AA63)</f>
        <v>51638.303422660174</v>
      </c>
      <c r="AB66" s="37">
        <f t="shared" si="0"/>
        <v>29306.165119891401</v>
      </c>
      <c r="AD66" s="37">
        <f>SUM(AD3:AD63)</f>
        <v>47019.762712118536</v>
      </c>
      <c r="AE66" s="37">
        <f t="shared" ref="AE66:AF66" si="1">SUM(AE3:AE63)</f>
        <v>57732.179162540415</v>
      </c>
      <c r="AF66" s="37">
        <f t="shared" si="1"/>
        <v>32737.00976223508</v>
      </c>
    </row>
  </sheetData>
  <autoFilter ref="A2:O66"/>
  <mergeCells count="2">
    <mergeCell ref="Z1:AB1"/>
    <mergeCell ref="AD1:A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Петрович 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2026-06-18T09:50:05Z</dcterms:modified>
</cp:coreProperties>
</file>