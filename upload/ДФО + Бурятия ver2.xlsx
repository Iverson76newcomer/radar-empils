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0" yWindow="0" windowWidth="23250" windowHeight="8625" activeTab="1"/>
  </bookViews>
  <sheets>
    <sheet name="база" sheetId="1" r:id="rId1"/>
    <sheet name="Лист1" sheetId="2" r:id="rId2"/>
  </sheets>
  <definedNames>
    <definedName name="ExternalData_1" localSheetId="0" hidden="1">база!$A$1:$G$6</definedName>
  </definedNames>
  <calcPr calcId="144525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1" i="2" l="1"/>
  <c r="F10" i="2" s="1"/>
  <c r="C5" i="2"/>
  <c r="I6" i="2" l="1"/>
  <c r="F6" i="2"/>
  <c r="F9" i="2"/>
  <c r="F8" i="2"/>
  <c r="F7" i="2"/>
  <c r="F11" i="2" l="1"/>
</calcChain>
</file>

<file path=xl/connections.xml><?xml version="1.0" encoding="utf-8"?>
<connections xmlns="http://schemas.openxmlformats.org/spreadsheetml/2006/main">
  <connection id="1" keepAlive="1" name="Запрос — Таблица Краски xlsx" description="Соединение с запросом &quot;Таблица Краски xlsx&quot; в книге." type="5" refreshedVersion="8" background="1" saveData="1">
    <dbPr connection="Provider=Microsoft.Mashup.OleDb.1;Data Source=$Workbook$;Location=Таблица Краски xlsx;Extended Properties=&quot;&quot;" command="SELECT * FROM [Таблица Краски xlsx]"/>
  </connection>
</connections>
</file>

<file path=xl/sharedStrings.xml><?xml version="1.0" encoding="utf-8"?>
<sst xmlns="http://schemas.openxmlformats.org/spreadsheetml/2006/main" count="52" uniqueCount="20">
  <si>
    <t>География</t>
  </si>
  <si>
    <t>География (объединение)</t>
  </si>
  <si>
    <t>Производитель</t>
  </si>
  <si>
    <t>Контрагент</t>
  </si>
  <si>
    <t>Выручка рынок</t>
  </si>
  <si>
    <t>LTV конкурентов</t>
  </si>
  <si>
    <t>LTV контрагента</t>
  </si>
  <si>
    <t>Новый Дом</t>
  </si>
  <si>
    <t>Лакра</t>
  </si>
  <si>
    <t>АВС Фарбен</t>
  </si>
  <si>
    <t>Тиккурилла</t>
  </si>
  <si>
    <t>Мефферт</t>
  </si>
  <si>
    <t>УРБАЕВА ВАЛЕНТИНА СПИРИДОНОВНА</t>
  </si>
  <si>
    <t>Республика Бурятия</t>
  </si>
  <si>
    <t>Объем</t>
  </si>
  <si>
    <t>Доля рынка</t>
  </si>
  <si>
    <t>ИТОГО</t>
  </si>
  <si>
    <t>Дистрибьютор</t>
  </si>
  <si>
    <t>Доля произв. в дистр.</t>
  </si>
  <si>
    <t>Рботаем с Вегос-М доля 16%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</si>
</sst>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\ _₽_-;\-* #,##0.00\ _₽_-;_-* &quot;-&quot;??\ _₽_-;_-@_-"/>
    <numFmt numFmtId="164" formatCode="_-* #,##0\ _₽_-;\-* #,##0\ _₽_-;_-* &quot;-&quot;??\ _₽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28">
    <xf numFmtId="0" fontId="0" fillId="0" borderId="0" xfId="0"/>
    <xf numFmtId="4" fontId="0" fillId="0" borderId="0" xfId="0" applyNumberFormat="1"/>
    <xf numFmtId="0" fontId="0" fillId="2" borderId="1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0" borderId="4" xfId="0" applyBorder="1"/>
    <xf numFmtId="0" fontId="1" fillId="0" borderId="0" xfId="0" applyFont="1" applyBorder="1" applyAlignment="1">
      <alignment horizontal="left" indent="1"/>
    </xf>
    <xf numFmtId="164" fontId="1" fillId="0" borderId="0" xfId="0" applyNumberFormat="1" applyFont="1" applyBorder="1"/>
    <xf numFmtId="9" fontId="0" fillId="0" borderId="5" xfId="2" applyFont="1" applyBorder="1" applyAlignment="1">
      <alignment horizontal="center"/>
    </xf>
    <xf numFmtId="0" fontId="0" fillId="0" borderId="4" xfId="0" applyFill="1" applyBorder="1" applyAlignment="1">
      <alignment horizontal="center" vertical="center" wrapText="1"/>
    </xf>
    <xf numFmtId="0" fontId="0" fillId="0" borderId="4" xfId="0" applyFill="1" applyBorder="1"/>
    <xf numFmtId="0" fontId="0" fillId="0" borderId="6" xfId="0" applyFill="1" applyBorder="1"/>
    <xf numFmtId="0" fontId="3" fillId="0" borderId="7" xfId="0" applyFont="1" applyFill="1" applyBorder="1" applyAlignment="1">
      <alignment horizontal="right" indent="1"/>
    </xf>
    <xf numFmtId="164" fontId="3" fillId="0" borderId="7" xfId="0" applyNumberFormat="1" applyFont="1" applyFill="1" applyBorder="1"/>
    <xf numFmtId="9" fontId="3" fillId="0" borderId="8" xfId="2" applyFont="1" applyFill="1" applyBorder="1"/>
    <xf numFmtId="0" fontId="0" fillId="2" borderId="0" xfId="0" applyFill="1" applyBorder="1" applyAlignment="1">
      <alignment horizontal="center" vertical="center" wrapText="1"/>
    </xf>
    <xf numFmtId="9" fontId="0" fillId="0" borderId="0" xfId="2" applyFont="1" applyBorder="1" applyAlignment="1">
      <alignment horizontal="center"/>
    </xf>
    <xf numFmtId="164" fontId="0" fillId="0" borderId="0" xfId="1" applyNumberFormat="1" applyFont="1" applyBorder="1"/>
    <xf numFmtId="0" fontId="0" fillId="0" borderId="0" xfId="0" applyBorder="1" applyAlignment="1">
      <alignment horizontal="left" indent="2"/>
    </xf>
    <xf numFmtId="0" fontId="0" fillId="2" borderId="4" xfId="0" applyFill="1" applyBorder="1" applyAlignment="1">
      <alignment horizontal="left" indent="2"/>
    </xf>
    <xf numFmtId="164" fontId="0" fillId="2" borderId="0" xfId="0" applyNumberFormat="1" applyFill="1" applyBorder="1" applyAlignment="1">
      <alignment horizontal="center" vertical="center" wrapText="1"/>
    </xf>
    <xf numFmtId="0" fontId="0" fillId="2" borderId="5" xfId="0" applyFill="1" applyBorder="1"/>
    <xf numFmtId="0" fontId="0" fillId="0" borderId="4" xfId="0" applyFill="1" applyBorder="1" applyAlignment="1">
      <alignment horizontal="left" indent="2"/>
    </xf>
    <xf numFmtId="0" fontId="1" fillId="0" borderId="7" xfId="0" applyFont="1" applyBorder="1" applyAlignment="1">
      <alignment horizontal="left" indent="1"/>
    </xf>
    <xf numFmtId="164" fontId="1" fillId="0" borderId="7" xfId="0" applyNumberFormat="1" applyFont="1" applyBorder="1"/>
    <xf numFmtId="9" fontId="0" fillId="0" borderId="8" xfId="2" applyFont="1" applyBorder="1" applyAlignment="1">
      <alignment horizontal="center"/>
    </xf>
    <xf numFmtId="0" fontId="0" fillId="0" borderId="6" xfId="0" applyBorder="1" applyAlignment="1">
      <alignment horizontal="left" indent="2"/>
    </xf>
    <xf numFmtId="164" fontId="0" fillId="0" borderId="7" xfId="1" applyNumberFormat="1" applyFont="1" applyBorder="1"/>
  </cellXfs>
  <cellStyles count="3">
    <cellStyle name="Обычный" xfId="0" builtinId="0"/>
    <cellStyle name="Процентный" xfId="2" builtinId="5"/>
    <cellStyle name="Финансовый" xfId="1" builtinId="3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4" formatCode="#,##0.00"/>
    </dxf>
    <dxf>
      <numFmt numFmtId="4" formatCode="#,##0.00"/>
    </dxf>
    <dxf>
      <numFmt numFmtId="4" formatCode="#,##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name="ExternalData_1" connectionId="1" autoFormatId="16" applyNumberFormats="0" applyBorderFormats="0" applyFontFormats="0" applyPatternFormats="0" applyAlignmentFormats="0" applyWidthHeightFormats="0">
  <queryTableRefresh nextId="9">
    <queryTableFields count="7">
      <queryTableField id="1" name="География" tableColumnId="1"/>
      <queryTableField id="2" name="География (объединение)" tableColumnId="2"/>
      <queryTableField id="3" name="Производитель" tableColumnId="3"/>
      <queryTableField id="4" name="Контрагент" tableColumnId="4"/>
      <queryTableField id="5" name="Выручка рынок" tableColumnId="5"/>
      <queryTableField id="7" name="LTV конкурентов" tableColumnId="7"/>
      <queryTableField id="8" name="LTV контрагента" tableColumnId="8"/>
    </queryTableFields>
    <queryTableDeletedFields count="1">
      <deletedField name="% выручка рынок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Таблица_Краски_xlsx" displayName="Таблица_Краски_xlsx" ref="A1:G6" tableType="queryTable" totalsRowShown="0">
  <autoFilter ref="A1:G6"/>
  <tableColumns count="7">
    <tableColumn id="1" uniqueName="1" name="География" queryTableFieldId="1" dataDxfId="8"/>
    <tableColumn id="2" uniqueName="2" name="География (объединение)" queryTableFieldId="2" dataDxfId="7"/>
    <tableColumn id="3" uniqueName="3" name="Производитель" queryTableFieldId="3" dataDxfId="6"/>
    <tableColumn id="4" uniqueName="4" name="Контрагент" queryTableFieldId="4" dataDxfId="5"/>
    <tableColumn id="5" uniqueName="5" name="Выручка рынок" queryTableFieldId="5" dataDxfId="4"/>
    <tableColumn id="7" uniqueName="7" name="LTV конкурентов" queryTableFieldId="7" dataDxfId="3"/>
    <tableColumn id="8" uniqueName="8" name="LTV контрагента" queryTableFieldId="8" dataDxf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Views>
    <sheetView workbookViewId="0">
      <selection activeCell="D2" sqref="D2"/>
    </sheetView>
  </sheetViews>
  <sheetFormatPr defaultRowHeight="15" x14ac:dyDescent="0.25"/>
  <cols>
    <col min="1" max="2" width="31.42578125" bestFit="1" customWidth="1"/>
    <col min="3" max="3" width="20.140625" customWidth="1"/>
    <col min="4" max="4" width="81.140625" bestFit="1" customWidth="1"/>
    <col min="5" max="5" width="17.7109375" style="1" bestFit="1" customWidth="1"/>
    <col min="6" max="6" width="18.7109375" style="1" bestFit="1" customWidth="1"/>
    <col min="7" max="7" width="18.140625" style="1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13</v>
      </c>
      <c r="B2" t="s">
        <v>13</v>
      </c>
      <c r="C2" t="s">
        <v>8</v>
      </c>
      <c r="D2" t="s">
        <v>12</v>
      </c>
      <c r="E2" s="1">
        <v>1850707.03</v>
      </c>
      <c r="F2" s="1">
        <v>1850707.03</v>
      </c>
      <c r="G2" s="1">
        <v>1850707.03</v>
      </c>
    </row>
    <row r="3" spans="1:7" x14ac:dyDescent="0.25">
      <c r="A3" t="s">
        <v>13</v>
      </c>
      <c r="B3" t="s">
        <v>13</v>
      </c>
      <c r="C3" t="s">
        <v>9</v>
      </c>
      <c r="D3" t="s">
        <v>12</v>
      </c>
      <c r="E3" s="1">
        <v>130574143.47</v>
      </c>
      <c r="F3" s="1">
        <v>130574143.47</v>
      </c>
      <c r="G3" s="1">
        <v>130574143.47</v>
      </c>
    </row>
    <row r="4" spans="1:7" x14ac:dyDescent="0.25">
      <c r="A4" t="s">
        <v>13</v>
      </c>
      <c r="B4" t="s">
        <v>13</v>
      </c>
      <c r="C4" t="s">
        <v>10</v>
      </c>
      <c r="D4" t="s">
        <v>12</v>
      </c>
      <c r="E4" s="1">
        <v>20226299.73</v>
      </c>
      <c r="F4" s="1">
        <v>20226299.73</v>
      </c>
      <c r="G4" s="1">
        <v>20226299.73</v>
      </c>
    </row>
    <row r="5" spans="1:7" x14ac:dyDescent="0.25">
      <c r="A5" t="s">
        <v>13</v>
      </c>
      <c r="B5" t="s">
        <v>13</v>
      </c>
      <c r="C5" t="s">
        <v>7</v>
      </c>
      <c r="D5" t="s">
        <v>12</v>
      </c>
      <c r="E5" s="1">
        <v>2290603.4</v>
      </c>
      <c r="F5" s="1">
        <v>2290603.4</v>
      </c>
      <c r="G5" s="1">
        <v>2290603.4</v>
      </c>
    </row>
    <row r="6" spans="1:7" x14ac:dyDescent="0.25">
      <c r="A6" t="s">
        <v>13</v>
      </c>
      <c r="B6" t="s">
        <v>13</v>
      </c>
      <c r="C6" t="s">
        <v>11</v>
      </c>
      <c r="D6" t="s">
        <v>12</v>
      </c>
      <c r="E6" s="1">
        <v>3165316.95</v>
      </c>
      <c r="F6" s="1">
        <v>3165316.95</v>
      </c>
      <c r="G6" s="1">
        <v>3165316.95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4:O12"/>
  <sheetViews>
    <sheetView tabSelected="1" workbookViewId="0">
      <selection activeCell="L15" sqref="L15"/>
    </sheetView>
  </sheetViews>
  <sheetFormatPr defaultRowHeight="15" x14ac:dyDescent="0.25"/>
  <cols>
    <col min="3" max="3" width="18" customWidth="1"/>
    <col min="4" max="4" width="19.5703125" customWidth="1"/>
    <col min="5" max="5" width="17.5703125" customWidth="1"/>
    <col min="6" max="6" width="15.7109375" customWidth="1"/>
    <col min="7" max="7" width="11" customWidth="1"/>
    <col min="8" max="8" width="30.5703125" customWidth="1"/>
    <col min="9" max="9" width="14.5703125" customWidth="1"/>
    <col min="10" max="10" width="13.42578125" customWidth="1"/>
    <col min="12" max="12" width="30.140625" customWidth="1"/>
    <col min="13" max="13" width="16.140625" customWidth="1"/>
    <col min="14" max="14" width="15.85546875" customWidth="1"/>
    <col min="15" max="15" width="15.28515625" customWidth="1"/>
  </cols>
  <sheetData>
    <row r="4" spans="3:15" ht="15.75" thickBot="1" x14ac:dyDescent="0.3"/>
    <row r="5" spans="3:15" ht="31.15" customHeight="1" x14ac:dyDescent="0.25">
      <c r="C5" s="2" t="str">
        <f>база!A2</f>
        <v>Республика Бурятия</v>
      </c>
      <c r="D5" s="3" t="s">
        <v>2</v>
      </c>
      <c r="E5" s="3" t="s">
        <v>14</v>
      </c>
      <c r="F5" s="4" t="s">
        <v>15</v>
      </c>
      <c r="H5" s="2" t="s">
        <v>17</v>
      </c>
      <c r="I5" s="3" t="s">
        <v>14</v>
      </c>
      <c r="J5" s="4" t="s">
        <v>15</v>
      </c>
      <c r="L5" s="2" t="s">
        <v>17</v>
      </c>
      <c r="M5" s="3" t="s">
        <v>2</v>
      </c>
      <c r="N5" s="3" t="s">
        <v>14</v>
      </c>
      <c r="O5" s="4" t="s">
        <v>18</v>
      </c>
    </row>
    <row r="6" spans="3:15" ht="15.75" thickBot="1" x14ac:dyDescent="0.3">
      <c r="C6" s="5"/>
      <c r="D6" s="6" t="s">
        <v>9</v>
      </c>
      <c r="E6" s="7">
        <v>130574143.47</v>
      </c>
      <c r="F6" s="8">
        <f>E6/$E$11</f>
        <v>0.82585897639493167</v>
      </c>
      <c r="H6" s="26" t="s">
        <v>12</v>
      </c>
      <c r="I6" s="27">
        <f>E11</f>
        <v>158107070.57999998</v>
      </c>
      <c r="J6" s="25">
        <v>1</v>
      </c>
      <c r="L6" s="19" t="s">
        <v>12</v>
      </c>
      <c r="M6" s="15" t="s">
        <v>2</v>
      </c>
      <c r="N6" s="20">
        <v>158107070.57999998</v>
      </c>
      <c r="O6" s="21"/>
    </row>
    <row r="7" spans="3:15" x14ac:dyDescent="0.25">
      <c r="C7" s="9"/>
      <c r="D7" s="6" t="s">
        <v>10</v>
      </c>
      <c r="E7" s="7">
        <v>20226299.73</v>
      </c>
      <c r="F7" s="8">
        <f t="shared" ref="F7:F9" si="0">E7/$E$11</f>
        <v>0.1279278634143422</v>
      </c>
      <c r="H7" s="18"/>
      <c r="I7" s="17"/>
      <c r="J7" s="16"/>
      <c r="L7" s="5"/>
      <c r="M7" s="6" t="s">
        <v>9</v>
      </c>
      <c r="N7" s="7">
        <v>130574143.47</v>
      </c>
      <c r="O7" s="8">
        <v>0.82585897639493167</v>
      </c>
    </row>
    <row r="8" spans="3:15" x14ac:dyDescent="0.25">
      <c r="C8" s="9"/>
      <c r="D8" s="6" t="s">
        <v>11</v>
      </c>
      <c r="E8" s="7">
        <v>3165316.95</v>
      </c>
      <c r="F8" s="8">
        <f t="shared" si="0"/>
        <v>2.0020084733645062E-2</v>
      </c>
      <c r="H8" s="18"/>
      <c r="I8" s="17"/>
      <c r="J8" s="16"/>
      <c r="L8" s="22"/>
      <c r="M8" s="6" t="s">
        <v>10</v>
      </c>
      <c r="N8" s="7">
        <v>20226299.73</v>
      </c>
      <c r="O8" s="8">
        <v>0.1279278634143422</v>
      </c>
    </row>
    <row r="9" spans="3:15" x14ac:dyDescent="0.25">
      <c r="C9" s="9"/>
      <c r="D9" s="6" t="s">
        <v>7</v>
      </c>
      <c r="E9" s="7">
        <v>2290603.4</v>
      </c>
      <c r="F9" s="8">
        <f t="shared" si="0"/>
        <v>1.4487672130013859E-2</v>
      </c>
      <c r="H9" s="18"/>
      <c r="I9" s="17"/>
      <c r="J9" s="16"/>
      <c r="L9" s="10"/>
      <c r="M9" s="6" t="s">
        <v>11</v>
      </c>
      <c r="N9" s="7">
        <v>3165316.95</v>
      </c>
      <c r="O9" s="8">
        <v>2.0020084733645062E-2</v>
      </c>
    </row>
    <row r="10" spans="3:15" x14ac:dyDescent="0.25">
      <c r="C10" s="9"/>
      <c r="D10" s="6" t="s">
        <v>8</v>
      </c>
      <c r="E10" s="7">
        <v>1850707.03</v>
      </c>
      <c r="F10" s="8">
        <f>E10/$E$11</f>
        <v>1.1705403327067324E-2</v>
      </c>
      <c r="H10" s="18"/>
      <c r="I10" s="17"/>
      <c r="J10" s="16"/>
      <c r="L10" s="22"/>
      <c r="M10" s="6" t="s">
        <v>7</v>
      </c>
      <c r="N10" s="7">
        <v>2290603.4</v>
      </c>
      <c r="O10" s="8">
        <v>1.4487672130013859E-2</v>
      </c>
    </row>
    <row r="11" spans="3:15" ht="15.75" thickBot="1" x14ac:dyDescent="0.3">
      <c r="C11" s="11"/>
      <c r="D11" s="12" t="s">
        <v>16</v>
      </c>
      <c r="E11" s="13">
        <f>SUM(E6:E10)</f>
        <v>158107070.57999998</v>
      </c>
      <c r="F11" s="14">
        <f>SUM(F6:F10)</f>
        <v>1.0000000000000002</v>
      </c>
      <c r="H11" s="18"/>
      <c r="I11" s="17"/>
      <c r="J11" s="16"/>
      <c r="L11" s="11"/>
      <c r="M11" s="23" t="s">
        <v>8</v>
      </c>
      <c r="N11" s="24">
        <v>1850707.03</v>
      </c>
      <c r="O11" s="25">
        <v>1.1705403327067324E-2</v>
      </c>
    </row>
    <row r="12" spans="3:15" x14ac:dyDescent="0.25">
      <c r="H12" t="s">
        <v>19</v>
      </c>
    </row>
  </sheetData>
  <conditionalFormatting sqref="L10 L8 L6">
    <cfRule type="duplicateValues" dxfId="1" priority="4"/>
  </conditionalFormatting>
  <conditionalFormatting sqref="H5:H11">
    <cfRule type="duplicateValues" dxfId="0" priority="6"/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4BF3BA0-5990-4A50-8CBF-75F98F67C1F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база</vt:lpstr>
      <vt:lpstr>Лист1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Кирик Виктория Анатольевна</dc:creator>
  <cp:lastModifiedBy>Заколодний Роман Александрович</cp:lastModifiedBy>
  <dcterms:created xsi:type="dcterms:W3CDTF">2026-07-24T11:41:31Z</dcterms:created>
  <dcterms:modified xsi:type="dcterms:W3CDTF">2026-10-26T10:28:32Z</dcterms:modified>
</cp:coreProperties>
</file>