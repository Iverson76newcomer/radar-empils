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7495" windowHeight="11190"/>
  </bookViews>
  <sheets>
    <sheet name="Калькулятор TCO" sheetId="1" r:id="rId1"/>
    <sheet name="Сценарии" sheetId="2" r:id="rId2"/>
    <sheet name="Инструкция" sheetId="3" r:id="rId3"/>
  </sheets>
  <calcPr calcId="144525"/>
</workbook>
</file>

<file path=xl/calcChain.xml><?xml version="1.0" encoding="utf-8"?>
<calcChain xmlns="http://schemas.openxmlformats.org/spreadsheetml/2006/main">
  <c r="D38" i="1" l="1"/>
  <c r="D36" i="1"/>
  <c r="E38" i="1" l="1"/>
  <c r="E47" i="1"/>
  <c r="D44" i="1"/>
  <c r="D58" i="1" s="1"/>
  <c r="C44" i="1"/>
  <c r="C58" i="1" s="1"/>
  <c r="C38" i="1"/>
  <c r="F37" i="1"/>
  <c r="D37" i="1"/>
  <c r="C37" i="1"/>
  <c r="C36" i="1"/>
  <c r="E36" i="1" s="1"/>
  <c r="D35" i="1"/>
  <c r="C35" i="1"/>
  <c r="E35" i="1" s="1"/>
  <c r="F34" i="1"/>
  <c r="D34" i="1"/>
  <c r="C34" i="1"/>
  <c r="F30" i="1"/>
  <c r="D30" i="1"/>
  <c r="C30" i="1"/>
  <c r="E30" i="1" s="1"/>
  <c r="D29" i="1"/>
  <c r="C29" i="1"/>
  <c r="E29" i="1" s="1"/>
  <c r="F28" i="1"/>
  <c r="D28" i="1"/>
  <c r="C28" i="1"/>
  <c r="E28" i="1" l="1"/>
  <c r="E31" i="1" s="1"/>
  <c r="C43" i="1" s="1"/>
  <c r="E37" i="1"/>
  <c r="E34" i="1"/>
  <c r="E44" i="1"/>
  <c r="E39" i="1"/>
  <c r="D43" i="1" s="1"/>
  <c r="D57" i="1" l="1"/>
  <c r="D45" i="1"/>
  <c r="E43" i="1"/>
  <c r="C45" i="1"/>
  <c r="C57" i="1"/>
  <c r="C48" i="1" l="1"/>
  <c r="C59" i="1"/>
  <c r="D59" i="1"/>
  <c r="D48" i="1"/>
  <c r="D46" i="1"/>
  <c r="E45" i="1"/>
  <c r="B53" i="1" l="1"/>
  <c r="C60" i="1"/>
  <c r="D49" i="1"/>
  <c r="E48" i="1"/>
  <c r="D50" i="1"/>
  <c r="D60" i="1"/>
</calcChain>
</file>

<file path=xl/sharedStrings.xml><?xml version="1.0" encoding="utf-8"?>
<sst xmlns="http://schemas.openxmlformats.org/spreadsheetml/2006/main" count="156" uniqueCount="128">
  <si>
    <t>TCO-КАЛЬКУЛЯТОР ЭМПИЛС</t>
  </si>
  <si>
    <t>Совокупная стоимость владения — инструмент обоснования цены премиум</t>
  </si>
  <si>
    <t>Вводите данные в жёлтые ячейки — результаты рассчитываются автоматически</t>
  </si>
  <si>
    <t>ВВОД ДАННЫХ</t>
  </si>
  <si>
    <t>Тип помещения</t>
  </si>
  <si>
    <t>комната 20 м²</t>
  </si>
  <si>
    <t>Выберите из списка или введите свой вариант</t>
  </si>
  <si>
    <t>Площадь стен (м²)</t>
  </si>
  <si>
    <t>Площадь окрашиваемой поверхности</t>
  </si>
  <si>
    <t>Высота потолков (м)</t>
  </si>
  <si>
    <t>Стандартная высота 2.5–2.7 м</t>
  </si>
  <si>
    <t>Количество слоёв краски</t>
  </si>
  <si>
    <t>Обычно 2 слоя для ВД краски</t>
  </si>
  <si>
    <t>Стоимость работы за 1 м² (грунтовка, ₽)</t>
  </si>
  <si>
    <t>Средняя ставка по региону</t>
  </si>
  <si>
    <t>Стоимость работы за 1 м² (шпатлёвка, ₽)</t>
  </si>
  <si>
    <t>Зависит от сложности поверхности</t>
  </si>
  <si>
    <t>Стоимость работы за 1 м² (покраска, ₽)</t>
  </si>
  <si>
    <t>Включая валик/кисть</t>
  </si>
  <si>
    <t>СПРАВОЧНЫЕ ДАННЫЕ — РАСХОД И СТОИМОСТЬ МАТЕРИАЛОВ</t>
  </si>
  <si>
    <t>Показатель</t>
  </si>
  <si>
    <t>Эконом (ОРЕОЛ)</t>
  </si>
  <si>
    <t>Средний (NEWTONE)</t>
  </si>
  <si>
    <t>Премиум (AVANTGARDE)</t>
  </si>
  <si>
    <t>Ед. изм.</t>
  </si>
  <si>
    <t>Грунтовка</t>
  </si>
  <si>
    <t>₽/кг</t>
  </si>
  <si>
    <t>Шпатлёвка стартовая</t>
  </si>
  <si>
    <t>Шпатлёвка финишная</t>
  </si>
  <si>
    <t>—</t>
  </si>
  <si>
    <t>Краска ВД интерьерная</t>
  </si>
  <si>
    <t>Лак защитный</t>
  </si>
  <si>
    <t>Декоративный эффект</t>
  </si>
  <si>
    <t>Срок службы покрытия (лет)</t>
  </si>
  <si>
    <t>лет</t>
  </si>
  <si>
    <t>РАСЧЁТ СТОИМОСТИ МАТЕРИАЛОВ</t>
  </si>
  <si>
    <t>Материал</t>
  </si>
  <si>
    <t>Расход (кг/м²)</t>
  </si>
  <si>
    <t>Цена (₽/кг)</t>
  </si>
  <si>
    <t>Стоимость (₽)</t>
  </si>
  <si>
    <t>Слой</t>
  </si>
  <si>
    <t>ЭКОНОМ (ОРЕОЛ)</t>
  </si>
  <si>
    <t>Грунтовка ОРЕОЛ</t>
  </si>
  <si>
    <t>Шпатлёвка стартовая ОРЕОЛ</t>
  </si>
  <si>
    <t>1</t>
  </si>
  <si>
    <t>Краска ВД ОРЕОЛ</t>
  </si>
  <si>
    <t>ИТОГО материалы (Эконом)</t>
  </si>
  <si>
    <t>ПРЕМИУМ (AVANTGARDE + NEWTONE)</t>
  </si>
  <si>
    <t>Грунтовка ОРЕОЛ (база)</t>
  </si>
  <si>
    <t>Шпатлёвка стартовая NEWTONE</t>
  </si>
  <si>
    <t>Шпатлёвка финишная NEWTONE</t>
  </si>
  <si>
    <t>Краска ВД AVANTGARDE</t>
  </si>
  <si>
    <t>Лак защитный AVANTGARDE</t>
  </si>
  <si>
    <t>ИТОГО материалы (Премиум)</t>
  </si>
  <si>
    <t>СВОДНЫЙ РАСЧЁТ TCO</t>
  </si>
  <si>
    <t>Эконом</t>
  </si>
  <si>
    <t>Премиум</t>
  </si>
  <si>
    <t>Разница</t>
  </si>
  <si>
    <t>Стоимость материалов (₽)</t>
  </si>
  <si>
    <t>Стоимость работ (₽)</t>
  </si>
  <si>
    <t>Общая стоимость ремонта (₽)</t>
  </si>
  <si>
    <t>Переплата за премиум к смете (%)</t>
  </si>
  <si>
    <t>Стоимость 1 года эксплуатации (₽/год)</t>
  </si>
  <si>
    <t>Экономия в год (₽)</t>
  </si>
  <si>
    <t>Экономия за срок службы (₽)</t>
  </si>
  <si>
    <t>РЕЗУЛЬТАТ: Премиум дешевле в X раз в пересчёте на год эксплуатации</t>
  </si>
  <si>
    <t>ВИЗУАЛИЗАЦИЯ СРАВНЕНИЯ</t>
  </si>
  <si>
    <t>Материалы (₽)</t>
  </si>
  <si>
    <t>Работы (₽)</t>
  </si>
  <si>
    <t>Общая стоимость (₽)</t>
  </si>
  <si>
    <t>Стоимость года (₽)</t>
  </si>
  <si>
    <t>ПРЕДЗАПОЛНЕННЫЕ СЦЕНАРИИ TCO</t>
  </si>
  <si>
    <t>Типовые расчёты для быстрой демонстрации клиенту</t>
  </si>
  <si>
    <t>Сценарий</t>
  </si>
  <si>
    <t>Площадь (м²)</t>
  </si>
  <si>
    <t>Высота (м)</t>
  </si>
  <si>
    <t>Слои</t>
  </si>
  <si>
    <t>Работа грунт (₽/м²)</t>
  </si>
  <si>
    <t>Работа шпатл. (₽/м²)</t>
  </si>
  <si>
    <t>Работа покраска (₽/м²)</t>
  </si>
  <si>
    <t>Комната 20 м² (интерьер)</t>
  </si>
  <si>
    <t>Ванная 6 м² (влажная зона)</t>
  </si>
  <si>
    <t>Фасад дома 100 м²</t>
  </si>
  <si>
    <t>Деревянный домик 40 м²</t>
  </si>
  <si>
    <t>Детская 15 м²</t>
  </si>
  <si>
    <t>РЕЗУЛЬТАТЫ ПО СЦЕНАРИЯМ</t>
  </si>
  <si>
    <t>Материалы Эконом</t>
  </si>
  <si>
    <t>Материалы Премиум</t>
  </si>
  <si>
    <t>Всего Эконом</t>
  </si>
  <si>
    <t>Всего Премиум</t>
  </si>
  <si>
    <t>Год Эконом</t>
  </si>
  <si>
    <t>Год Премиум</t>
  </si>
  <si>
    <t>Во всех сценариях премиум дешевле в пересчёте на год эксплуатации!</t>
  </si>
  <si>
    <t>ИНСТРУКЦИЯ МЕНЕДЖЕРА</t>
  </si>
  <si>
    <t>TCO-калькулятор Эмпилс — инструмент для обоснования цены премиум</t>
  </si>
  <si>
    <t>КАК ПОЛЬЗОВАТЬСЯ КАЛЬКУЛЯТОРОМ</t>
  </si>
  <si>
    <t>1. Откройте лист «Калькулятор TCO»</t>
  </si>
  <si>
    <t>2. В жёлтые ячейки введите параметры: тип помещения, площадь стен, высоту потолков, количество слоёв, стоимость работ</t>
  </si>
  <si>
    <t>3. Результаты рассчитываются автоматически в разделе «Сводный расчёт TCO»</t>
  </si>
  <si>
    <t>4. Ключевая строка — «Стоимость 1 года эксплуатации»: показывает, что премиум дешевле в пересчёте на год</t>
  </si>
  <si>
    <t>ТИПОВЫЕ СЦЕНАРИИ</t>
  </si>
  <si>
    <t>На листе «Сценарии» — предзаполненные расчёты для 5 типовых задач:</t>
  </si>
  <si>
    <t xml:space="preserve">   - Комната 20 м² — стандартный интерьер</t>
  </si>
  <si>
    <t xml:space="preserve">   - Ванная 6 м² — влажная зона</t>
  </si>
  <si>
    <t xml:space="preserve">   - Фасад дома 100 м² — наружные работы</t>
  </si>
  <si>
    <t xml:space="preserve">   - Деревянный домик 40 м² — защита дерева</t>
  </si>
  <si>
    <t xml:space="preserve">   - Детская 15 м² — безопасность и экологичность</t>
  </si>
  <si>
    <t>Показывайте клиенту нужный сценарий — экономия видна сразу</t>
  </si>
  <si>
    <t>КАК ПРОДАВАТЬ ЧЕРЕЗ TCO — 4 ШАГА</t>
  </si>
  <si>
    <t>Шаг 1: Спросите клиента: «Вы считали, сколько стоит покраска в год?»</t>
  </si>
  <si>
    <t xml:space="preserve">   Большинство клиентов считают только стоимость банки. Но краска — лишь 15-20% сметы. Остальное — работа.</t>
  </si>
  <si>
    <t>Шаг 2: Покажите расчёт на калькуляторе (2 минуты)</t>
  </si>
  <si>
    <t xml:space="preserve">   Введите площадь → клиент видит: эконом 6 450 ₽/год, премиум 2 447 ₽/год</t>
  </si>
  <si>
    <t>Шаг 3: Объясните: «Переплата за премиум — всего +7% к смете, но -60% к стоимости года»</t>
  </si>
  <si>
    <t xml:space="preserve">   Это конкретные цифры, а не абстрактные обещания. Клиент видит выгоду.</t>
  </si>
  <si>
    <t>Шаг 4: Предложите систему: «Грунт + шпатлёвка + краска = гарантия результата на 10 лет»</t>
  </si>
  <si>
    <t xml:space="preserve">   Как Dulux Weathershield — гарантия только при использовании системы.</t>
  </si>
  <si>
    <t>ТИПОВЫЕ ВОРАЖДЕНИЯ И ОТВЕТЫ</t>
  </si>
  <si>
    <t>«Дорого!» → «Премиум дешевле в 2,6 раза в год. Переплата — всего +7% к смете. Покажу расчёт?»</t>
  </si>
  <si>
    <t>«Мне хватает и эконома» → «Эконом нужно перекрашивать через 3 года. Премиум — через 10. За 10 лет эконом обойдётся в 3 раза дороже»</t>
  </si>
  <si>
    <t>«Я подумаю» → «Конечно! Вот расчёт — сохраните его. И QR-код на онлайн-калькулятор, можете пересчитать дома»</t>
  </si>
  <si>
    <t>«А у конкурента дешевле» → «Давайте посчитаем стоимость года. Наша система с гарантией результата — это не просто банка краски»</t>
  </si>
  <si>
    <t>ВАЖНО!</t>
  </si>
  <si>
    <t>- Не меняйте серые ячейки — там формулы</t>
  </si>
  <si>
    <t>- Жёлтые ячейки — для ввода данных клиента</t>
  </si>
  <si>
    <t>- Если клиент спрашивает про фасад — откройте лист «Сценарии», строку «Фасад дома»</t>
  </si>
  <si>
    <t>- Цены на работы уточняйте по региону</t>
  </si>
  <si>
    <t>- Для нестандартных задач — введите свои данные на листе «Калькулятор TCO»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</si>
</sst>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8"/>
      <color rgb="FF0A2540"/>
      <name val="Calibri"/>
    </font>
    <font>
      <sz val="11"/>
      <color rgb="FF888888"/>
      <name val="Calibri"/>
    </font>
    <font>
      <b/>
      <sz val="10"/>
      <color rgb="FFE86C00"/>
      <name val="Calibri"/>
    </font>
    <font>
      <b/>
      <sz val="12"/>
      <color rgb="FFFFFFFF"/>
      <name val="Calibri"/>
    </font>
    <font>
      <b/>
      <sz val="10"/>
      <color rgb="FF0A2540"/>
      <name val="Calibri"/>
    </font>
    <font>
      <b/>
      <sz val="11"/>
      <color rgb="FF0000FF"/>
      <name val="Calibri"/>
    </font>
    <font>
      <sz val="9"/>
      <color rgb="FF888888"/>
      <name val="Calibri"/>
    </font>
    <font>
      <b/>
      <sz val="11"/>
      <color rgb="FFFFFFFF"/>
      <name val="Calibri"/>
    </font>
    <font>
      <sz val="10"/>
      <color rgb="FF333333"/>
      <name val="Calibri"/>
    </font>
    <font>
      <b/>
      <sz val="12"/>
      <color rgb="FF333333"/>
      <name val="Calibri"/>
    </font>
    <font>
      <b/>
      <sz val="12"/>
      <color rgb="FF1B7D46"/>
      <name val="Calibri"/>
    </font>
    <font>
      <b/>
      <sz val="11"/>
      <color rgb="FF0A2540"/>
      <name val="Calibri"/>
    </font>
    <font>
      <b/>
      <sz val="10"/>
      <color rgb="FFC0392B"/>
      <name val="Calibri"/>
    </font>
    <font>
      <b/>
      <sz val="11"/>
      <color rgb="FFC0392B"/>
      <name val="Calibri"/>
    </font>
    <font>
      <b/>
      <sz val="10"/>
      <color rgb="FF1B7D46"/>
      <name val="Calibri"/>
    </font>
    <font>
      <b/>
      <sz val="11"/>
      <color rgb="FF1B7D46"/>
      <name val="Calibri"/>
    </font>
    <font>
      <b/>
      <sz val="12"/>
      <color rgb="FF0A2540"/>
      <name val="Calibri"/>
    </font>
    <font>
      <b/>
      <sz val="13"/>
      <color rgb="FFC0392B"/>
      <name val="Calibri"/>
    </font>
    <font>
      <b/>
      <sz val="13"/>
      <color rgb="FF1B7D46"/>
      <name val="Calibri"/>
    </font>
    <font>
      <b/>
      <sz val="14"/>
      <color rgb="FF1B7D46"/>
      <name val="Calibri"/>
    </font>
    <font>
      <b/>
      <sz val="13"/>
      <color rgb="FF0A2540"/>
      <name val="Calibri"/>
    </font>
    <font>
      <b/>
      <sz val="16"/>
      <color rgb="FF0A2540"/>
      <name val="Calibri"/>
    </font>
    <font>
      <sz val="10"/>
      <color rgb="FF888888"/>
      <name val="Calibri"/>
    </font>
    <font>
      <sz val="12"/>
      <color rgb="FF888888"/>
      <name val="Calibri"/>
    </font>
    <font>
      <sz val="11"/>
      <color rgb="FF333333"/>
      <name val="Calibri"/>
    </font>
    <font>
      <b/>
      <sz val="14"/>
      <color rgb="FF0A2540"/>
      <name val="Calibri"/>
    </font>
    <font>
      <b/>
      <sz val="11"/>
      <color rgb="FF333333"/>
      <name val="Calibri"/>
    </font>
    <font>
      <b/>
      <sz val="14"/>
      <color rgb="FFC0392B"/>
      <name val="Calibri"/>
    </font>
    <font>
      <b/>
      <sz val="10"/>
      <color rgb="FFFFFFFF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rgb="FF333333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B4D8"/>
      </patternFill>
    </fill>
    <fill>
      <patternFill patternType="solid">
        <fgColor rgb="FFFFFFCC"/>
      </patternFill>
    </fill>
    <fill>
      <patternFill patternType="solid">
        <fgColor rgb="FF0A2540"/>
      </patternFill>
    </fill>
    <fill>
      <patternFill patternType="solid">
        <fgColor rgb="FFFDEDEC"/>
      </patternFill>
    </fill>
    <fill>
      <patternFill patternType="solid">
        <fgColor rgb="FFE8F5E9"/>
      </patternFill>
    </fill>
    <fill>
      <patternFill patternType="solid">
        <fgColor rgb="FFF0F7FA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00B4D8"/>
      </left>
      <right style="medium">
        <color rgb="FF00B4D8"/>
      </right>
      <top style="medium">
        <color rgb="FF00B4D8"/>
      </top>
      <bottom style="medium">
        <color rgb="FF00B4D8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 wrapText="1"/>
    </xf>
    <xf numFmtId="3" fontId="7" fillId="3" borderId="2" xfId="0" applyNumberFormat="1" applyFont="1" applyFill="1" applyBorder="1" applyAlignment="1" applyProtection="1">
      <alignment horizontal="center" vertical="center"/>
      <protection locked="0"/>
    </xf>
    <xf numFmtId="164" fontId="7" fillId="3" borderId="2" xfId="0" applyNumberFormat="1" applyFont="1" applyFill="1" applyBorder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3" fontId="10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/>
    <xf numFmtId="0" fontId="10" fillId="0" borderId="1" xfId="0" applyFont="1" applyBorder="1"/>
    <xf numFmtId="2" fontId="10" fillId="0" borderId="1" xfId="0" applyNumberFormat="1" applyFont="1" applyBorder="1"/>
    <xf numFmtId="3" fontId="10" fillId="0" borderId="1" xfId="0" applyNumberFormat="1" applyFont="1" applyBorder="1"/>
    <xf numFmtId="3" fontId="0" fillId="0" borderId="1" xfId="0" applyNumberFormat="1" applyBorder="1"/>
    <xf numFmtId="0" fontId="14" fillId="0" borderId="1" xfId="0" applyFont="1" applyBorder="1"/>
    <xf numFmtId="3" fontId="15" fillId="5" borderId="1" xfId="0" applyNumberFormat="1" applyFont="1" applyFill="1" applyBorder="1"/>
    <xf numFmtId="0" fontId="16" fillId="0" borderId="1" xfId="0" applyFont="1" applyBorder="1"/>
    <xf numFmtId="3" fontId="17" fillId="6" borderId="1" xfId="0" applyNumberFormat="1" applyFont="1" applyFill="1" applyBorder="1"/>
    <xf numFmtId="3" fontId="13" fillId="7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19" fillId="5" borderId="2" xfId="0" applyNumberFormat="1" applyFont="1" applyFill="1" applyBorder="1" applyAlignment="1">
      <alignment horizontal="center" vertical="center"/>
    </xf>
    <xf numFmtId="3" fontId="20" fillId="6" borderId="2" xfId="0" applyNumberFormat="1" applyFont="1" applyFill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3" fontId="14" fillId="5" borderId="1" xfId="0" applyNumberFormat="1" applyFont="1" applyFill="1" applyBorder="1" applyAlignment="1">
      <alignment horizontal="center" vertical="center"/>
    </xf>
    <xf numFmtId="3" fontId="16" fillId="6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9" fillId="8" borderId="1" xfId="0" applyFont="1" applyFill="1" applyBorder="1" applyAlignment="1">
      <alignment horizontal="center" vertical="center" wrapText="1"/>
    </xf>
    <xf numFmtId="0" fontId="1" fillId="0" borderId="0" xfId="0" applyFont="1"/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31" fillId="0" borderId="0" xfId="0" applyFont="1"/>
    <xf numFmtId="3" fontId="31" fillId="0" borderId="0" xfId="0" applyNumberFormat="1" applyFont="1"/>
    <xf numFmtId="0" fontId="3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0" fontId="31" fillId="0" borderId="0" xfId="0" applyFont="1"/>
    <xf numFmtId="0" fontId="21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4" fillId="0" borderId="0" xfId="0" applyFont="1"/>
    <xf numFmtId="0" fontId="2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Сравнение </a:t>
            </a:r>
            <a:r>
              <a:rPr lang="en-US"/>
              <a:t>TCO: </a:t>
            </a:r>
            <a:r>
              <a:rPr lang="ru-RU"/>
              <a:t>Эконом </a:t>
            </a:r>
            <a:r>
              <a:rPr lang="en-US"/>
              <a:t>vs </a:t>
            </a:r>
            <a:r>
              <a:rPr lang="ru-RU"/>
              <a:t>Премиум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'Калькулятор TCO'!$C$56</c:f>
              <c:strCache>
                <c:ptCount val="1"/>
                <c:pt idx="0">
                  <c:v>Эконом</c:v>
                </c:pt>
              </c:strCache>
            </c:strRef>
          </c:tx>
          <c:spPr>
            <a:solidFill>
              <a:srgbClr val="C0392B"/>
            </a:solidFill>
            <a:ln>
              <a:prstDash val="solid"/>
            </a:ln>
          </c:spPr>
          <c:invertIfNegative val="1"/>
          <c:cat>
            <c:strRef>
              <c:f>'Калькулятор TCO'!$B$57:$B$60</c:f>
              <c:strCache>
                <c:ptCount val="4"/>
                <c:pt idx="0">
                  <c:v>Материалы (₽)</c:v>
                </c:pt>
                <c:pt idx="1">
                  <c:v>Работы (₽)</c:v>
                </c:pt>
                <c:pt idx="2">
                  <c:v>Общая стоимость (₽)</c:v>
                </c:pt>
                <c:pt idx="3">
                  <c:v>Стоимость года (₽)</c:v>
                </c:pt>
              </c:strCache>
            </c:strRef>
          </c:cat>
          <c:val>
            <c:numRef>
              <c:f>'Калькулятор TCO'!$C$57:$C$60</c:f>
              <c:numCache>
                <c:formatCode>#,##0</c:formatCode>
                <c:ptCount val="4"/>
                <c:pt idx="0">
                  <c:v>10407.6</c:v>
                </c:pt>
                <c:pt idx="1">
                  <c:v>14700</c:v>
                </c:pt>
                <c:pt idx="2">
                  <c:v>25107.599999999999</c:v>
                </c:pt>
                <c:pt idx="3">
                  <c:v>8369.1999999999989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tx>
            <c:strRef>
              <c:f>'Калькулятор TCO'!$D$56</c:f>
              <c:strCache>
                <c:ptCount val="1"/>
                <c:pt idx="0">
                  <c:v>Премиум</c:v>
                </c:pt>
              </c:strCache>
            </c:strRef>
          </c:tx>
          <c:spPr>
            <a:solidFill>
              <a:srgbClr val="1B7D46"/>
            </a:solidFill>
            <a:ln>
              <a:prstDash val="solid"/>
            </a:ln>
          </c:spPr>
          <c:invertIfNegative val="1"/>
          <c:cat>
            <c:strRef>
              <c:f>'Калькулятор TCO'!$B$57:$B$60</c:f>
              <c:strCache>
                <c:ptCount val="4"/>
                <c:pt idx="0">
                  <c:v>Материалы (₽)</c:v>
                </c:pt>
                <c:pt idx="1">
                  <c:v>Работы (₽)</c:v>
                </c:pt>
                <c:pt idx="2">
                  <c:v>Общая стоимость (₽)</c:v>
                </c:pt>
                <c:pt idx="3">
                  <c:v>Стоимость года (₽)</c:v>
                </c:pt>
              </c:strCache>
            </c:strRef>
          </c:cat>
          <c:val>
            <c:numRef>
              <c:f>'Калькулятор TCO'!$D$57:$D$60</c:f>
              <c:numCache>
                <c:formatCode>#,##0</c:formatCode>
                <c:ptCount val="4"/>
                <c:pt idx="0">
                  <c:v>17455.2</c:v>
                </c:pt>
                <c:pt idx="1">
                  <c:v>14700</c:v>
                </c:pt>
                <c:pt idx="2">
                  <c:v>32155.200000000001</c:v>
                </c:pt>
                <c:pt idx="3">
                  <c:v>3215.52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502656"/>
        <c:axId val="134508544"/>
      </c:barChart>
      <c:catAx>
        <c:axId val="134502656"/>
        <c:scaling>
          <c:orientation val="minMax"/>
        </c:scaling>
        <c:delete val="0"/>
        <c:axPos val="b"/>
        <c:majorTickMark val="none"/>
        <c:minorTickMark val="none"/>
        <c:tickLblPos val="nextTo"/>
        <c:crossAx val="134508544"/>
        <c:crosses val="autoZero"/>
        <c:auto val="1"/>
        <c:lblAlgn val="ctr"/>
        <c:lblOffset val="100"/>
        <c:noMultiLvlLbl val="1"/>
      </c:catAx>
      <c:valAx>
        <c:axId val="134508544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34502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Стоимость 1 года эксплуатации по сценариям (₽/год)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Сценарии!$G$13</c:f>
              <c:strCache>
                <c:ptCount val="1"/>
                <c:pt idx="0">
                  <c:v>Год Эконом</c:v>
                </c:pt>
              </c:strCache>
            </c:strRef>
          </c:tx>
          <c:spPr>
            <a:solidFill>
              <a:srgbClr val="C0392B"/>
            </a:solidFill>
            <a:ln>
              <a:prstDash val="solid"/>
            </a:ln>
          </c:spPr>
          <c:invertIfNegative val="1"/>
          <c:cat>
            <c:strRef>
              <c:f>Сценарии!$B$14:$B$18</c:f>
              <c:strCache>
                <c:ptCount val="5"/>
                <c:pt idx="0">
                  <c:v>Комната 20 м² (интерьер)</c:v>
                </c:pt>
                <c:pt idx="1">
                  <c:v>Ванная 6 м² (влажная зона)</c:v>
                </c:pt>
                <c:pt idx="2">
                  <c:v>Фасад дома 100 м²</c:v>
                </c:pt>
                <c:pt idx="3">
                  <c:v>Деревянный домик 40 м²</c:v>
                </c:pt>
                <c:pt idx="4">
                  <c:v>Детская 15 м²</c:v>
                </c:pt>
              </c:strCache>
            </c:strRef>
          </c:cat>
          <c:val>
            <c:numRef>
              <c:f>Сценарии!$G$14:$G$18</c:f>
              <c:numCache>
                <c:formatCode>#,##0</c:formatCode>
                <c:ptCount val="5"/>
                <c:pt idx="0">
                  <c:v>8967</c:v>
                </c:pt>
                <c:pt idx="1">
                  <c:v>4971</c:v>
                </c:pt>
                <c:pt idx="2">
                  <c:v>18927</c:v>
                </c:pt>
                <c:pt idx="3">
                  <c:v>10130</c:v>
                </c:pt>
                <c:pt idx="4">
                  <c:v>6974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ser>
          <c:idx val="1"/>
          <c:order val="1"/>
          <c:tx>
            <c:strRef>
              <c:f>Сценарии!$H$13</c:f>
              <c:strCache>
                <c:ptCount val="1"/>
                <c:pt idx="0">
                  <c:v>Год Премиум</c:v>
                </c:pt>
              </c:strCache>
            </c:strRef>
          </c:tx>
          <c:spPr>
            <a:solidFill>
              <a:srgbClr val="1B7D46"/>
            </a:solidFill>
            <a:ln>
              <a:prstDash val="solid"/>
            </a:ln>
          </c:spPr>
          <c:invertIfNegative val="1"/>
          <c:cat>
            <c:strRef>
              <c:f>Сценарии!$B$14:$B$18</c:f>
              <c:strCache>
                <c:ptCount val="5"/>
                <c:pt idx="0">
                  <c:v>Комната 20 м² (интерьер)</c:v>
                </c:pt>
                <c:pt idx="1">
                  <c:v>Ванная 6 м² (влажная зона)</c:v>
                </c:pt>
                <c:pt idx="2">
                  <c:v>Фасад дома 100 м²</c:v>
                </c:pt>
                <c:pt idx="3">
                  <c:v>Деревянный домик 40 м²</c:v>
                </c:pt>
                <c:pt idx="4">
                  <c:v>Детская 15 м²</c:v>
                </c:pt>
              </c:strCache>
            </c:strRef>
          </c:cat>
          <c:val>
            <c:numRef>
              <c:f>Сценарии!$H$14:$H$18</c:f>
              <c:numCache>
                <c:formatCode>#,##0</c:formatCode>
                <c:ptCount val="5"/>
                <c:pt idx="0">
                  <c:v>4896</c:v>
                </c:pt>
                <c:pt idx="1">
                  <c:v>2570</c:v>
                </c:pt>
                <c:pt idx="2">
                  <c:v>10580</c:v>
                </c:pt>
                <c:pt idx="3">
                  <c:v>5490</c:v>
                </c:pt>
                <c:pt idx="4">
                  <c:v>3808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632576"/>
        <c:axId val="134634112"/>
      </c:barChart>
      <c:catAx>
        <c:axId val="134632576"/>
        <c:scaling>
          <c:orientation val="minMax"/>
        </c:scaling>
        <c:delete val="0"/>
        <c:axPos val="b"/>
        <c:majorTickMark val="none"/>
        <c:minorTickMark val="none"/>
        <c:tickLblPos val="nextTo"/>
        <c:crossAx val="134634112"/>
        <c:crosses val="autoZero"/>
        <c:auto val="1"/>
        <c:lblAlgn val="ctr"/>
        <c:lblOffset val="100"/>
        <c:noMultiLvlLbl val="1"/>
      </c:catAx>
      <c:valAx>
        <c:axId val="134634112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34632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61</xdr:row>
      <xdr:rowOff>0</xdr:rowOff>
    </xdr:from>
    <xdr:ext cx="7200000" cy="4105276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720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4D8"/>
  </sheetPr>
  <dimension ref="A2:F61"/>
  <sheetViews>
    <sheetView tabSelected="1" topLeftCell="A13" workbookViewId="0">
      <selection activeCell="H40" sqref="H40"/>
    </sheetView>
  </sheetViews>
  <sheetFormatPr defaultRowHeight="15" x14ac:dyDescent="0.25"/>
  <cols>
    <col min="1" max="1" width="3" customWidth="1"/>
    <col min="2" max="2" width="38" customWidth="1"/>
    <col min="3" max="6" width="18" customWidth="1"/>
    <col min="7" max="7" width="6.85546875" customWidth="1"/>
  </cols>
  <sheetData>
    <row r="2" spans="1:6" ht="23.25" x14ac:dyDescent="0.25">
      <c r="B2" s="44" t="s">
        <v>0</v>
      </c>
      <c r="C2" s="43"/>
      <c r="D2" s="43"/>
      <c r="E2" s="43"/>
      <c r="F2" s="43"/>
    </row>
    <row r="3" spans="1:6" x14ac:dyDescent="0.25">
      <c r="B3" s="42" t="s">
        <v>1</v>
      </c>
      <c r="C3" s="43"/>
      <c r="D3" s="43"/>
      <c r="E3" s="43"/>
      <c r="F3" s="43"/>
    </row>
    <row r="4" spans="1:6" x14ac:dyDescent="0.25">
      <c r="B4" s="50" t="s">
        <v>2</v>
      </c>
      <c r="C4" s="43"/>
      <c r="D4" s="43"/>
      <c r="E4" s="43"/>
      <c r="F4" s="43"/>
    </row>
    <row r="6" spans="1:6" x14ac:dyDescent="0.25">
      <c r="B6" s="54" t="s">
        <v>3</v>
      </c>
      <c r="C6" s="43"/>
      <c r="D6" s="43"/>
      <c r="E6" s="43"/>
      <c r="F6" s="43"/>
    </row>
    <row r="7" spans="1:6" ht="36" x14ac:dyDescent="0.25">
      <c r="B7" s="1" t="s">
        <v>4</v>
      </c>
      <c r="C7" s="2" t="s">
        <v>5</v>
      </c>
      <c r="D7" s="3" t="s">
        <v>6</v>
      </c>
    </row>
    <row r="8" spans="1:6" ht="36" x14ac:dyDescent="0.25">
      <c r="B8" s="1" t="s">
        <v>7</v>
      </c>
      <c r="C8" s="4">
        <v>42</v>
      </c>
      <c r="D8" s="3" t="s">
        <v>8</v>
      </c>
    </row>
    <row r="9" spans="1:6" ht="24" x14ac:dyDescent="0.25">
      <c r="B9" s="1" t="s">
        <v>9</v>
      </c>
      <c r="C9" s="5">
        <v>2.7</v>
      </c>
      <c r="D9" s="3" t="s">
        <v>10</v>
      </c>
    </row>
    <row r="10" spans="1:6" ht="24" x14ac:dyDescent="0.25">
      <c r="B10" s="1" t="s">
        <v>11</v>
      </c>
      <c r="C10" s="6">
        <v>2</v>
      </c>
      <c r="D10" s="3" t="s">
        <v>12</v>
      </c>
    </row>
    <row r="11" spans="1:6" ht="24" x14ac:dyDescent="0.25">
      <c r="B11" s="1" t="s">
        <v>13</v>
      </c>
      <c r="C11" s="4">
        <v>80</v>
      </c>
      <c r="D11" s="3" t="s">
        <v>14</v>
      </c>
    </row>
    <row r="12" spans="1:6" ht="24" x14ac:dyDescent="0.25">
      <c r="B12" s="1" t="s">
        <v>15</v>
      </c>
      <c r="C12" s="4">
        <v>120</v>
      </c>
      <c r="D12" s="3" t="s">
        <v>16</v>
      </c>
    </row>
    <row r="13" spans="1:6" x14ac:dyDescent="0.25">
      <c r="B13" s="1" t="s">
        <v>17</v>
      </c>
      <c r="C13" s="4">
        <v>150</v>
      </c>
      <c r="D13" s="3" t="s">
        <v>18</v>
      </c>
    </row>
    <row r="15" spans="1:6" x14ac:dyDescent="0.25">
      <c r="B15" s="52" t="s">
        <v>19</v>
      </c>
      <c r="C15" s="43"/>
      <c r="D15" s="43"/>
      <c r="E15" s="43"/>
      <c r="F15" s="43"/>
    </row>
    <row r="16" spans="1:6" ht="30" x14ac:dyDescent="0.25">
      <c r="A16" s="36"/>
      <c r="B16" s="7" t="s">
        <v>20</v>
      </c>
      <c r="C16" s="7" t="s">
        <v>21</v>
      </c>
      <c r="D16" s="7" t="s">
        <v>22</v>
      </c>
      <c r="E16" s="7" t="s">
        <v>23</v>
      </c>
      <c r="F16" s="7" t="s">
        <v>24</v>
      </c>
    </row>
    <row r="17" spans="1:6" x14ac:dyDescent="0.25">
      <c r="B17" s="8" t="s">
        <v>25</v>
      </c>
      <c r="C17" s="9">
        <v>130</v>
      </c>
      <c r="D17" s="9">
        <v>180</v>
      </c>
      <c r="E17" s="9">
        <v>350</v>
      </c>
      <c r="F17" s="10" t="s">
        <v>26</v>
      </c>
    </row>
    <row r="18" spans="1:6" x14ac:dyDescent="0.25">
      <c r="B18" s="8" t="s">
        <v>27</v>
      </c>
      <c r="C18" s="9">
        <v>120</v>
      </c>
      <c r="D18" s="9">
        <v>170</v>
      </c>
      <c r="E18" s="9">
        <v>280</v>
      </c>
      <c r="F18" s="10" t="s">
        <v>26</v>
      </c>
    </row>
    <row r="19" spans="1:6" x14ac:dyDescent="0.25">
      <c r="B19" s="8" t="s">
        <v>28</v>
      </c>
      <c r="C19" s="11" t="s">
        <v>29</v>
      </c>
      <c r="D19" s="9">
        <v>250</v>
      </c>
      <c r="E19" s="9">
        <v>420</v>
      </c>
      <c r="F19" s="10" t="s">
        <v>26</v>
      </c>
    </row>
    <row r="20" spans="1:6" x14ac:dyDescent="0.25">
      <c r="B20" s="8" t="s">
        <v>30</v>
      </c>
      <c r="C20" s="9">
        <v>180</v>
      </c>
      <c r="D20" s="9">
        <v>320</v>
      </c>
      <c r="E20" s="9">
        <v>600</v>
      </c>
      <c r="F20" s="10" t="s">
        <v>26</v>
      </c>
    </row>
    <row r="21" spans="1:6" x14ac:dyDescent="0.25">
      <c r="B21" s="8" t="s">
        <v>31</v>
      </c>
      <c r="C21" s="11" t="s">
        <v>29</v>
      </c>
      <c r="D21" s="9">
        <v>350</v>
      </c>
      <c r="E21" s="9">
        <v>800</v>
      </c>
      <c r="F21" s="10" t="s">
        <v>26</v>
      </c>
    </row>
    <row r="22" spans="1:6" x14ac:dyDescent="0.25">
      <c r="B22" s="8" t="s">
        <v>32</v>
      </c>
      <c r="C22" s="11" t="s">
        <v>29</v>
      </c>
      <c r="D22" s="11" t="s">
        <v>29</v>
      </c>
      <c r="E22" s="9">
        <v>1200</v>
      </c>
      <c r="F22" s="10" t="s">
        <v>26</v>
      </c>
    </row>
    <row r="23" spans="1:6" ht="15.75" x14ac:dyDescent="0.25">
      <c r="B23" s="8" t="s">
        <v>33</v>
      </c>
      <c r="C23" s="12">
        <v>3</v>
      </c>
      <c r="D23" s="12">
        <v>7</v>
      </c>
      <c r="E23" s="13">
        <v>10</v>
      </c>
      <c r="F23" s="14" t="s">
        <v>34</v>
      </c>
    </row>
    <row r="25" spans="1:6" x14ac:dyDescent="0.25">
      <c r="B25" s="54" t="s">
        <v>35</v>
      </c>
      <c r="C25" s="43"/>
      <c r="D25" s="43"/>
      <c r="E25" s="43"/>
      <c r="F25" s="43"/>
    </row>
    <row r="26" spans="1:6" x14ac:dyDescent="0.25">
      <c r="A26" s="36"/>
      <c r="B26" s="7" t="s">
        <v>36</v>
      </c>
      <c r="C26" s="7" t="s">
        <v>37</v>
      </c>
      <c r="D26" s="7" t="s">
        <v>38</v>
      </c>
      <c r="E26" s="7" t="s">
        <v>39</v>
      </c>
      <c r="F26" s="7" t="s">
        <v>40</v>
      </c>
    </row>
    <row r="27" spans="1:6" x14ac:dyDescent="0.25">
      <c r="B27" s="53" t="s">
        <v>41</v>
      </c>
      <c r="C27" s="43"/>
      <c r="D27" s="43"/>
      <c r="E27" s="43"/>
      <c r="F27" s="43"/>
    </row>
    <row r="28" spans="1:6" x14ac:dyDescent="0.25">
      <c r="B28" s="15" t="s">
        <v>42</v>
      </c>
      <c r="C28" s="16">
        <f>0.15*C8</f>
        <v>6.3</v>
      </c>
      <c r="D28" s="17">
        <f>C17</f>
        <v>130</v>
      </c>
      <c r="E28" s="18">
        <f>C28*D28*F28</f>
        <v>1638</v>
      </c>
      <c r="F28" s="11">
        <f>C10</f>
        <v>2</v>
      </c>
    </row>
    <row r="29" spans="1:6" x14ac:dyDescent="0.25">
      <c r="B29" s="15" t="s">
        <v>43</v>
      </c>
      <c r="C29" s="16">
        <f>1.2*C8</f>
        <v>50.4</v>
      </c>
      <c r="D29" s="17">
        <f>C18</f>
        <v>120</v>
      </c>
      <c r="E29" s="18">
        <f>C29*D29*F29</f>
        <v>6048</v>
      </c>
      <c r="F29" s="11" t="s">
        <v>44</v>
      </c>
    </row>
    <row r="30" spans="1:6" x14ac:dyDescent="0.25">
      <c r="B30" s="15" t="s">
        <v>45</v>
      </c>
      <c r="C30" s="16">
        <f>0.18*C8</f>
        <v>7.56</v>
      </c>
      <c r="D30" s="17">
        <f>C20</f>
        <v>180</v>
      </c>
      <c r="E30" s="18">
        <f>C30*D30*F30</f>
        <v>2721.6</v>
      </c>
      <c r="F30" s="11">
        <f>C10</f>
        <v>2</v>
      </c>
    </row>
    <row r="31" spans="1:6" x14ac:dyDescent="0.25">
      <c r="B31" s="19" t="s">
        <v>46</v>
      </c>
      <c r="E31" s="20">
        <f>SUM(E28:E30)</f>
        <v>10407.6</v>
      </c>
    </row>
    <row r="33" spans="1:6" x14ac:dyDescent="0.25">
      <c r="B33" s="49" t="s">
        <v>47</v>
      </c>
      <c r="C33" s="43"/>
      <c r="D33" s="43"/>
      <c r="E33" s="43"/>
      <c r="F33" s="43"/>
    </row>
    <row r="34" spans="1:6" x14ac:dyDescent="0.25">
      <c r="B34" s="15" t="s">
        <v>48</v>
      </c>
      <c r="C34" s="16">
        <f>0.12*C8</f>
        <v>5.04</v>
      </c>
      <c r="D34" s="17">
        <f>C17</f>
        <v>130</v>
      </c>
      <c r="E34" s="18">
        <f>C34*D34*F34</f>
        <v>1310.4000000000001</v>
      </c>
      <c r="F34" s="11">
        <f>C10</f>
        <v>2</v>
      </c>
    </row>
    <row r="35" spans="1:6" x14ac:dyDescent="0.25">
      <c r="B35" s="15" t="s">
        <v>49</v>
      </c>
      <c r="C35" s="16">
        <f>1*C8</f>
        <v>42</v>
      </c>
      <c r="D35" s="17">
        <f>C18</f>
        <v>120</v>
      </c>
      <c r="E35" s="18">
        <f>C35*D35*F35</f>
        <v>5040</v>
      </c>
      <c r="F35" s="11" t="s">
        <v>44</v>
      </c>
    </row>
    <row r="36" spans="1:6" x14ac:dyDescent="0.25">
      <c r="B36" s="15" t="s">
        <v>50</v>
      </c>
      <c r="C36" s="16">
        <f>0.6*C8</f>
        <v>25.2</v>
      </c>
      <c r="D36" s="17">
        <f>D19</f>
        <v>250</v>
      </c>
      <c r="E36" s="18">
        <f>C36*D36*F36</f>
        <v>6300</v>
      </c>
      <c r="F36" s="11" t="s">
        <v>44</v>
      </c>
    </row>
    <row r="37" spans="1:6" x14ac:dyDescent="0.25">
      <c r="B37" s="15" t="s">
        <v>51</v>
      </c>
      <c r="C37" s="16">
        <f>0.14*C8</f>
        <v>5.8800000000000008</v>
      </c>
      <c r="D37" s="17">
        <f>C20</f>
        <v>180</v>
      </c>
      <c r="E37" s="18">
        <f>C37*D37*F37</f>
        <v>2116.8000000000002</v>
      </c>
      <c r="F37" s="11">
        <f>C10</f>
        <v>2</v>
      </c>
    </row>
    <row r="38" spans="1:6" x14ac:dyDescent="0.25">
      <c r="B38" s="15" t="s">
        <v>52</v>
      </c>
      <c r="C38" s="16">
        <f>0.08*C8</f>
        <v>3.36</v>
      </c>
      <c r="D38" s="17">
        <f>E21</f>
        <v>800</v>
      </c>
      <c r="E38" s="18">
        <f>C38*D38*F38</f>
        <v>2688</v>
      </c>
      <c r="F38" s="11" t="s">
        <v>44</v>
      </c>
    </row>
    <row r="39" spans="1:6" x14ac:dyDescent="0.25">
      <c r="B39" s="21" t="s">
        <v>53</v>
      </c>
      <c r="E39" s="22">
        <f>SUM(E34:E38)</f>
        <v>17455.2</v>
      </c>
    </row>
    <row r="41" spans="1:6" x14ac:dyDescent="0.25">
      <c r="B41" s="51" t="s">
        <v>54</v>
      </c>
      <c r="C41" s="43"/>
      <c r="D41" s="43"/>
      <c r="E41" s="43"/>
      <c r="F41" s="43"/>
    </row>
    <row r="42" spans="1:6" x14ac:dyDescent="0.25">
      <c r="A42" s="36"/>
      <c r="B42" s="7" t="s">
        <v>20</v>
      </c>
      <c r="C42" s="7" t="s">
        <v>55</v>
      </c>
      <c r="D42" s="7" t="s">
        <v>56</v>
      </c>
      <c r="E42" s="7" t="s">
        <v>57</v>
      </c>
    </row>
    <row r="43" spans="1:6" x14ac:dyDescent="0.25">
      <c r="B43" s="1" t="s">
        <v>58</v>
      </c>
      <c r="C43" s="9">
        <f>E31</f>
        <v>10407.6</v>
      </c>
      <c r="D43" s="9">
        <f>E39</f>
        <v>17455.2</v>
      </c>
      <c r="E43" s="9">
        <f>D43-C43</f>
        <v>7047.6</v>
      </c>
    </row>
    <row r="44" spans="1:6" x14ac:dyDescent="0.25">
      <c r="B44" s="1" t="s">
        <v>59</v>
      </c>
      <c r="C44" s="9">
        <f>C8*(C11+C12+C13)</f>
        <v>14700</v>
      </c>
      <c r="D44" s="9">
        <f>C8*(C11+C12+C13)</f>
        <v>14700</v>
      </c>
      <c r="E44" s="9">
        <f>D44-C44</f>
        <v>0</v>
      </c>
    </row>
    <row r="45" spans="1:6" x14ac:dyDescent="0.25">
      <c r="B45" s="1" t="s">
        <v>60</v>
      </c>
      <c r="C45" s="23">
        <f>C43+C44</f>
        <v>25107.599999999999</v>
      </c>
      <c r="D45" s="23">
        <f>D43+D44</f>
        <v>32155.200000000001</v>
      </c>
      <c r="E45" s="9">
        <f>D45-C45</f>
        <v>7047.6000000000022</v>
      </c>
    </row>
    <row r="46" spans="1:6" x14ac:dyDescent="0.25">
      <c r="B46" s="1" t="s">
        <v>61</v>
      </c>
      <c r="C46" s="24" t="s">
        <v>29</v>
      </c>
      <c r="D46" s="24">
        <f>(D45-C45)/C45</f>
        <v>0.28069588491134168</v>
      </c>
      <c r="E46" s="24" t="s">
        <v>29</v>
      </c>
    </row>
    <row r="47" spans="1:6" x14ac:dyDescent="0.25">
      <c r="B47" s="1" t="s">
        <v>33</v>
      </c>
      <c r="C47" s="9">
        <v>3</v>
      </c>
      <c r="D47" s="9">
        <v>10</v>
      </c>
      <c r="E47" s="9">
        <f>D47-C47</f>
        <v>7</v>
      </c>
    </row>
    <row r="48" spans="1:6" ht="17.25" x14ac:dyDescent="0.25">
      <c r="B48" s="1" t="s">
        <v>62</v>
      </c>
      <c r="C48" s="25">
        <f>C45/C47</f>
        <v>8369.1999999999989</v>
      </c>
      <c r="D48" s="26">
        <f>D45/D47</f>
        <v>3215.52</v>
      </c>
      <c r="E48" s="27">
        <f>C48-D48</f>
        <v>5153.6799999999985</v>
      </c>
    </row>
    <row r="49" spans="2:6" x14ac:dyDescent="0.25">
      <c r="B49" s="1" t="s">
        <v>63</v>
      </c>
      <c r="C49" s="9" t="s">
        <v>29</v>
      </c>
      <c r="D49" s="9">
        <f>C48-D48</f>
        <v>5153.6799999999985</v>
      </c>
      <c r="E49" s="9" t="s">
        <v>29</v>
      </c>
    </row>
    <row r="50" spans="2:6" x14ac:dyDescent="0.25">
      <c r="B50" s="1" t="s">
        <v>64</v>
      </c>
      <c r="C50" s="9" t="s">
        <v>29</v>
      </c>
      <c r="D50" s="9">
        <f>D48*10</f>
        <v>32155.200000000001</v>
      </c>
      <c r="E50" s="9" t="s">
        <v>29</v>
      </c>
    </row>
    <row r="52" spans="2:6" x14ac:dyDescent="0.25">
      <c r="B52" s="48" t="s">
        <v>65</v>
      </c>
      <c r="C52" s="43"/>
      <c r="D52" s="43"/>
      <c r="E52" s="43"/>
      <c r="F52" s="43"/>
    </row>
    <row r="53" spans="2:6" x14ac:dyDescent="0.25">
      <c r="B53" s="45" t="e">
        <f>IF(D48&gt;0,"Премиум дешевле в "&amp;TEXT(C48/D48,"0.0")&amp;" раз в год. Экономия "&amp;TEXT(D49,"#,##0")&amp;" ₽/год","")</f>
        <v>#VALUE!</v>
      </c>
      <c r="C53" s="43"/>
      <c r="D53" s="43"/>
      <c r="E53" s="43"/>
      <c r="F53" s="43"/>
    </row>
    <row r="55" spans="2:6" x14ac:dyDescent="0.25">
      <c r="B55" s="46" t="s">
        <v>66</v>
      </c>
      <c r="C55" s="47"/>
      <c r="D55" s="47"/>
      <c r="E55" s="47"/>
      <c r="F55" s="47"/>
    </row>
    <row r="56" spans="2:6" x14ac:dyDescent="0.25">
      <c r="B56" s="38" t="s">
        <v>20</v>
      </c>
      <c r="C56" s="39" t="s">
        <v>55</v>
      </c>
      <c r="D56" s="39" t="s">
        <v>56</v>
      </c>
      <c r="E56" s="40"/>
      <c r="F56" s="40"/>
    </row>
    <row r="57" spans="2:6" x14ac:dyDescent="0.25">
      <c r="B57" s="40" t="s">
        <v>67</v>
      </c>
      <c r="C57" s="41">
        <f t="shared" ref="C57:D59" si="0">C43</f>
        <v>10407.6</v>
      </c>
      <c r="D57" s="41">
        <f t="shared" si="0"/>
        <v>17455.2</v>
      </c>
      <c r="E57" s="40"/>
      <c r="F57" s="40"/>
    </row>
    <row r="58" spans="2:6" x14ac:dyDescent="0.25">
      <c r="B58" s="40" t="s">
        <v>68</v>
      </c>
      <c r="C58" s="41">
        <f t="shared" si="0"/>
        <v>14700</v>
      </c>
      <c r="D58" s="41">
        <f t="shared" si="0"/>
        <v>14700</v>
      </c>
      <c r="E58" s="40"/>
      <c r="F58" s="40"/>
    </row>
    <row r="59" spans="2:6" x14ac:dyDescent="0.25">
      <c r="B59" s="40" t="s">
        <v>69</v>
      </c>
      <c r="C59" s="41">
        <f t="shared" si="0"/>
        <v>25107.599999999999</v>
      </c>
      <c r="D59" s="41">
        <f t="shared" si="0"/>
        <v>32155.200000000001</v>
      </c>
      <c r="E59" s="40"/>
      <c r="F59" s="40"/>
    </row>
    <row r="60" spans="2:6" x14ac:dyDescent="0.25">
      <c r="B60" s="40" t="s">
        <v>70</v>
      </c>
      <c r="C60" s="41">
        <f>C48</f>
        <v>8369.1999999999989</v>
      </c>
      <c r="D60" s="41">
        <f>D48</f>
        <v>3215.52</v>
      </c>
      <c r="E60" s="40"/>
      <c r="F60" s="40"/>
    </row>
    <row r="61" spans="2:6" x14ac:dyDescent="0.25">
      <c r="B61" s="37"/>
      <c r="C61" s="37"/>
      <c r="D61" s="37"/>
      <c r="E61" s="37"/>
      <c r="F61" s="37"/>
    </row>
  </sheetData>
  <mergeCells count="12">
    <mergeCell ref="B3:F3"/>
    <mergeCell ref="B2:F2"/>
    <mergeCell ref="B53:F53"/>
    <mergeCell ref="B55:F55"/>
    <mergeCell ref="B52:F52"/>
    <mergeCell ref="B33:F33"/>
    <mergeCell ref="B4:F4"/>
    <mergeCell ref="B41:F41"/>
    <mergeCell ref="B15:F15"/>
    <mergeCell ref="B27:F27"/>
    <mergeCell ref="B25:F25"/>
    <mergeCell ref="B6:F6"/>
  </mergeCells>
  <dataValidations count="1">
    <dataValidation type="list" promptTitle="Тип помещения" prompt="Выберите тип помещения" sqref="C7">
      <formula1>"комната 20 м²,ванная,фасад дома,деревянный домик,детская"</formula1>
    </dataValidation>
  </dataValidations>
  <pageMargins left="0.75" right="0.75" top="1" bottom="1" header="0.5" footer="0.5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7D46"/>
  </sheetPr>
  <dimension ref="A2:H20"/>
  <sheetViews>
    <sheetView workbookViewId="0">
      <selection activeCell="B49" sqref="B49"/>
    </sheetView>
  </sheetViews>
  <sheetFormatPr defaultRowHeight="15" x14ac:dyDescent="0.25"/>
  <cols>
    <col min="1" max="1" width="3" customWidth="1"/>
    <col min="2" max="2" width="30" customWidth="1"/>
    <col min="3" max="8" width="16" customWidth="1"/>
  </cols>
  <sheetData>
    <row r="2" spans="1:8" ht="21" x14ac:dyDescent="0.35">
      <c r="B2" s="57" t="s">
        <v>71</v>
      </c>
      <c r="C2" s="43"/>
      <c r="D2" s="43"/>
      <c r="E2" s="43"/>
      <c r="F2" s="43"/>
      <c r="G2" s="43"/>
      <c r="H2" s="43"/>
    </row>
    <row r="3" spans="1:8" x14ac:dyDescent="0.25">
      <c r="B3" s="56" t="s">
        <v>72</v>
      </c>
      <c r="C3" s="43"/>
      <c r="D3" s="43"/>
      <c r="E3" s="43"/>
      <c r="F3" s="43"/>
      <c r="G3" s="43"/>
      <c r="H3" s="43"/>
    </row>
    <row r="5" spans="1:8" ht="30" x14ac:dyDescent="0.25">
      <c r="A5" s="7"/>
      <c r="B5" s="7" t="s">
        <v>73</v>
      </c>
      <c r="C5" s="7" t="s">
        <v>74</v>
      </c>
      <c r="D5" s="7" t="s">
        <v>75</v>
      </c>
      <c r="E5" s="7" t="s">
        <v>76</v>
      </c>
      <c r="F5" s="7" t="s">
        <v>77</v>
      </c>
      <c r="G5" s="7" t="s">
        <v>78</v>
      </c>
      <c r="H5" s="7" t="s">
        <v>79</v>
      </c>
    </row>
    <row r="6" spans="1:8" x14ac:dyDescent="0.25">
      <c r="B6" s="8" t="s">
        <v>80</v>
      </c>
      <c r="C6" s="9">
        <v>45</v>
      </c>
      <c r="D6" s="9">
        <v>2.7</v>
      </c>
      <c r="E6" s="9">
        <v>2</v>
      </c>
      <c r="F6" s="9">
        <v>80</v>
      </c>
      <c r="G6" s="9">
        <v>120</v>
      </c>
      <c r="H6" s="9">
        <v>150</v>
      </c>
    </row>
    <row r="7" spans="1:8" x14ac:dyDescent="0.25">
      <c r="B7" s="8" t="s">
        <v>81</v>
      </c>
      <c r="C7" s="9">
        <v>22</v>
      </c>
      <c r="D7" s="9">
        <v>2.5</v>
      </c>
      <c r="E7" s="9">
        <v>2</v>
      </c>
      <c r="F7" s="9">
        <v>100</v>
      </c>
      <c r="G7" s="9">
        <v>150</v>
      </c>
      <c r="H7" s="9">
        <v>180</v>
      </c>
    </row>
    <row r="8" spans="1:8" x14ac:dyDescent="0.25">
      <c r="B8" s="8" t="s">
        <v>82</v>
      </c>
      <c r="C8" s="9">
        <v>100</v>
      </c>
      <c r="D8" s="9">
        <v>3</v>
      </c>
      <c r="E8" s="9">
        <v>2</v>
      </c>
      <c r="F8" s="9">
        <v>120</v>
      </c>
      <c r="G8" s="9">
        <v>0</v>
      </c>
      <c r="H8" s="9">
        <v>200</v>
      </c>
    </row>
    <row r="9" spans="1:8" x14ac:dyDescent="0.25">
      <c r="B9" s="8" t="s">
        <v>83</v>
      </c>
      <c r="C9" s="9">
        <v>50</v>
      </c>
      <c r="D9" s="9">
        <v>2.5</v>
      </c>
      <c r="E9" s="9">
        <v>2</v>
      </c>
      <c r="F9" s="9">
        <v>100</v>
      </c>
      <c r="G9" s="9">
        <v>80</v>
      </c>
      <c r="H9" s="9">
        <v>180</v>
      </c>
    </row>
    <row r="10" spans="1:8" x14ac:dyDescent="0.25">
      <c r="B10" s="8" t="s">
        <v>84</v>
      </c>
      <c r="C10" s="9">
        <v>35</v>
      </c>
      <c r="D10" s="9">
        <v>2.7</v>
      </c>
      <c r="E10" s="9">
        <v>2</v>
      </c>
      <c r="F10" s="9">
        <v>80</v>
      </c>
      <c r="G10" s="9">
        <v>120</v>
      </c>
      <c r="H10" s="9">
        <v>150</v>
      </c>
    </row>
    <row r="12" spans="1:8" x14ac:dyDescent="0.25">
      <c r="B12" s="54" t="s">
        <v>85</v>
      </c>
      <c r="C12" s="43"/>
      <c r="D12" s="43"/>
      <c r="E12" s="43"/>
      <c r="F12" s="43"/>
      <c r="G12" s="43"/>
      <c r="H12" s="43"/>
    </row>
    <row r="13" spans="1:8" ht="30" x14ac:dyDescent="0.25">
      <c r="A13" s="7"/>
      <c r="B13" s="7" t="s">
        <v>73</v>
      </c>
      <c r="C13" s="7" t="s">
        <v>86</v>
      </c>
      <c r="D13" s="7" t="s">
        <v>87</v>
      </c>
      <c r="E13" s="7" t="s">
        <v>88</v>
      </c>
      <c r="F13" s="7" t="s">
        <v>89</v>
      </c>
      <c r="G13" s="7" t="s">
        <v>90</v>
      </c>
      <c r="H13" s="7" t="s">
        <v>91</v>
      </c>
    </row>
    <row r="14" spans="1:8" x14ac:dyDescent="0.25">
      <c r="B14" s="8" t="s">
        <v>80</v>
      </c>
      <c r="C14" s="9">
        <v>11151</v>
      </c>
      <c r="D14" s="9">
        <v>33210</v>
      </c>
      <c r="E14" s="9">
        <v>26901</v>
      </c>
      <c r="F14" s="9">
        <v>48960</v>
      </c>
      <c r="G14" s="28">
        <v>8967</v>
      </c>
      <c r="H14" s="29">
        <v>4896</v>
      </c>
    </row>
    <row r="15" spans="1:8" x14ac:dyDescent="0.25">
      <c r="B15" s="8" t="s">
        <v>81</v>
      </c>
      <c r="C15" s="9">
        <v>5452</v>
      </c>
      <c r="D15" s="9">
        <v>16236</v>
      </c>
      <c r="E15" s="9">
        <v>14912</v>
      </c>
      <c r="F15" s="9">
        <v>25696</v>
      </c>
      <c r="G15" s="28">
        <v>4971</v>
      </c>
      <c r="H15" s="29">
        <v>2570</v>
      </c>
    </row>
    <row r="16" spans="1:8" x14ac:dyDescent="0.25">
      <c r="B16" s="8" t="s">
        <v>82</v>
      </c>
      <c r="C16" s="9">
        <v>24780</v>
      </c>
      <c r="D16" s="9">
        <v>73800</v>
      </c>
      <c r="E16" s="9">
        <v>56780</v>
      </c>
      <c r="F16" s="9">
        <v>105800</v>
      </c>
      <c r="G16" s="28">
        <v>18927</v>
      </c>
      <c r="H16" s="29">
        <v>10580</v>
      </c>
    </row>
    <row r="17" spans="2:8" x14ac:dyDescent="0.25">
      <c r="B17" s="8" t="s">
        <v>83</v>
      </c>
      <c r="C17" s="9">
        <v>12390</v>
      </c>
      <c r="D17" s="9">
        <v>36900</v>
      </c>
      <c r="E17" s="9">
        <v>30390</v>
      </c>
      <c r="F17" s="9">
        <v>54900</v>
      </c>
      <c r="G17" s="28">
        <v>10130</v>
      </c>
      <c r="H17" s="29">
        <v>5490</v>
      </c>
    </row>
    <row r="18" spans="2:8" x14ac:dyDescent="0.25">
      <c r="B18" s="8" t="s">
        <v>84</v>
      </c>
      <c r="C18" s="9">
        <v>8673</v>
      </c>
      <c r="D18" s="9">
        <v>25830</v>
      </c>
      <c r="E18" s="9">
        <v>20923</v>
      </c>
      <c r="F18" s="9">
        <v>38080</v>
      </c>
      <c r="G18" s="28">
        <v>6974</v>
      </c>
      <c r="H18" s="29">
        <v>3808</v>
      </c>
    </row>
    <row r="20" spans="2:8" x14ac:dyDescent="0.25">
      <c r="B20" s="55" t="s">
        <v>92</v>
      </c>
      <c r="C20" s="43"/>
      <c r="D20" s="43"/>
      <c r="E20" s="43"/>
      <c r="F20" s="43"/>
      <c r="G20" s="43"/>
      <c r="H20" s="43"/>
    </row>
  </sheetData>
  <mergeCells count="4">
    <mergeCell ref="B20:H20"/>
    <mergeCell ref="B3:H3"/>
    <mergeCell ref="B2:H2"/>
    <mergeCell ref="B12:H12"/>
  </mergeCell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6C00"/>
  </sheetPr>
  <dimension ref="B2:B45"/>
  <sheetViews>
    <sheetView topLeftCell="A28" workbookViewId="0"/>
  </sheetViews>
  <sheetFormatPr defaultRowHeight="15" x14ac:dyDescent="0.25"/>
  <cols>
    <col min="1" max="1" width="3" customWidth="1"/>
    <col min="2" max="2" width="80" customWidth="1"/>
  </cols>
  <sheetData>
    <row r="2" spans="2:2" ht="23.25" x14ac:dyDescent="0.25">
      <c r="B2" s="30"/>
    </row>
    <row r="3" spans="2:2" ht="23.25" x14ac:dyDescent="0.25">
      <c r="B3" s="30" t="s">
        <v>93</v>
      </c>
    </row>
    <row r="4" spans="2:2" ht="15.75" x14ac:dyDescent="0.25">
      <c r="B4" s="31" t="s">
        <v>94</v>
      </c>
    </row>
    <row r="5" spans="2:2" x14ac:dyDescent="0.25">
      <c r="B5" s="32"/>
    </row>
    <row r="6" spans="2:2" ht="18.75" x14ac:dyDescent="0.25">
      <c r="B6" s="33" t="s">
        <v>95</v>
      </c>
    </row>
    <row r="7" spans="2:2" x14ac:dyDescent="0.25">
      <c r="B7" s="34" t="s">
        <v>96</v>
      </c>
    </row>
    <row r="8" spans="2:2" ht="30" x14ac:dyDescent="0.25">
      <c r="B8" s="32" t="s">
        <v>97</v>
      </c>
    </row>
    <row r="9" spans="2:2" x14ac:dyDescent="0.25">
      <c r="B9" s="32" t="s">
        <v>98</v>
      </c>
    </row>
    <row r="10" spans="2:2" ht="30" x14ac:dyDescent="0.25">
      <c r="B10" s="32" t="s">
        <v>99</v>
      </c>
    </row>
    <row r="11" spans="2:2" x14ac:dyDescent="0.25">
      <c r="B11" s="32"/>
    </row>
    <row r="12" spans="2:2" ht="18.75" x14ac:dyDescent="0.25">
      <c r="B12" s="33" t="s">
        <v>100</v>
      </c>
    </row>
    <row r="13" spans="2:2" x14ac:dyDescent="0.25">
      <c r="B13" s="32" t="s">
        <v>101</v>
      </c>
    </row>
    <row r="14" spans="2:2" x14ac:dyDescent="0.25">
      <c r="B14" s="32" t="s">
        <v>102</v>
      </c>
    </row>
    <row r="15" spans="2:2" x14ac:dyDescent="0.25">
      <c r="B15" s="32" t="s">
        <v>103</v>
      </c>
    </row>
    <row r="16" spans="2:2" x14ac:dyDescent="0.25">
      <c r="B16" s="32" t="s">
        <v>104</v>
      </c>
    </row>
    <row r="17" spans="2:2" x14ac:dyDescent="0.25">
      <c r="B17" s="32" t="s">
        <v>105</v>
      </c>
    </row>
    <row r="18" spans="2:2" x14ac:dyDescent="0.25">
      <c r="B18" s="32" t="s">
        <v>106</v>
      </c>
    </row>
    <row r="19" spans="2:2" x14ac:dyDescent="0.25">
      <c r="B19" s="32" t="s">
        <v>107</v>
      </c>
    </row>
    <row r="20" spans="2:2" x14ac:dyDescent="0.25">
      <c r="B20" s="32"/>
    </row>
    <row r="21" spans="2:2" ht="18.75" x14ac:dyDescent="0.25">
      <c r="B21" s="33" t="s">
        <v>108</v>
      </c>
    </row>
    <row r="22" spans="2:2" x14ac:dyDescent="0.25">
      <c r="B22" s="32" t="s">
        <v>109</v>
      </c>
    </row>
    <row r="23" spans="2:2" ht="30" x14ac:dyDescent="0.25">
      <c r="B23" s="32" t="s">
        <v>110</v>
      </c>
    </row>
    <row r="24" spans="2:2" x14ac:dyDescent="0.25">
      <c r="B24" s="32"/>
    </row>
    <row r="25" spans="2:2" x14ac:dyDescent="0.25">
      <c r="B25" s="32" t="s">
        <v>111</v>
      </c>
    </row>
    <row r="26" spans="2:2" x14ac:dyDescent="0.25">
      <c r="B26" s="32" t="s">
        <v>112</v>
      </c>
    </row>
    <row r="27" spans="2:2" x14ac:dyDescent="0.25">
      <c r="B27" s="32"/>
    </row>
    <row r="28" spans="2:2" ht="30" x14ac:dyDescent="0.25">
      <c r="B28" s="32" t="s">
        <v>113</v>
      </c>
    </row>
    <row r="29" spans="2:2" x14ac:dyDescent="0.25">
      <c r="B29" s="32" t="s">
        <v>114</v>
      </c>
    </row>
    <row r="30" spans="2:2" x14ac:dyDescent="0.25">
      <c r="B30" s="32"/>
    </row>
    <row r="31" spans="2:2" ht="30" x14ac:dyDescent="0.25">
      <c r="B31" s="32" t="s">
        <v>115</v>
      </c>
    </row>
    <row r="32" spans="2:2" x14ac:dyDescent="0.25">
      <c r="B32" s="32" t="s">
        <v>116</v>
      </c>
    </row>
    <row r="33" spans="2:2" x14ac:dyDescent="0.25">
      <c r="B33" s="32"/>
    </row>
    <row r="34" spans="2:2" ht="18.75" x14ac:dyDescent="0.25">
      <c r="B34" s="33" t="s">
        <v>117</v>
      </c>
    </row>
    <row r="35" spans="2:2" ht="30" x14ac:dyDescent="0.25">
      <c r="B35" s="32" t="s">
        <v>118</v>
      </c>
    </row>
    <row r="36" spans="2:2" ht="30" x14ac:dyDescent="0.25">
      <c r="B36" s="32" t="s">
        <v>119</v>
      </c>
    </row>
    <row r="37" spans="2:2" ht="30" x14ac:dyDescent="0.25">
      <c r="B37" s="32" t="s">
        <v>120</v>
      </c>
    </row>
    <row r="38" spans="2:2" ht="30" x14ac:dyDescent="0.25">
      <c r="B38" s="32" t="s">
        <v>121</v>
      </c>
    </row>
    <row r="39" spans="2:2" x14ac:dyDescent="0.25">
      <c r="B39" s="32"/>
    </row>
    <row r="40" spans="2:2" ht="18.75" x14ac:dyDescent="0.25">
      <c r="B40" s="35" t="s">
        <v>122</v>
      </c>
    </row>
    <row r="41" spans="2:2" x14ac:dyDescent="0.25">
      <c r="B41" s="32" t="s">
        <v>123</v>
      </c>
    </row>
    <row r="42" spans="2:2" x14ac:dyDescent="0.25">
      <c r="B42" s="32" t="s">
        <v>124</v>
      </c>
    </row>
    <row r="43" spans="2:2" ht="30" x14ac:dyDescent="0.25">
      <c r="B43" s="32" t="s">
        <v>125</v>
      </c>
    </row>
    <row r="44" spans="2:2" x14ac:dyDescent="0.25">
      <c r="B44" s="32" t="s">
        <v>126</v>
      </c>
    </row>
    <row r="45" spans="2:2" x14ac:dyDescent="0.25">
      <c r="B45" s="32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Калькулятор TCO</vt:lpstr>
      <vt:lpstr>Сценарии</vt:lpstr>
      <vt:lpstr>Инструкция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Заколодний Роман Александрович</cp:lastModifiedBy>
  <dcterms:created xsi:type="dcterms:W3CDTF">2026-06-18T11:34:31Z</dcterms:created>
  <dcterms:modified xsi:type="dcterms:W3CDTF">2026-06-19T05:32:30Z</dcterms:modified>
</cp:coreProperties>
</file>