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 tabRatio="536"/>
  </bookViews>
  <sheets>
    <sheet name="TITAN — расчёт стоимости" sheetId="1" r:id="rId1"/>
  </sheets>
  <calcPr calcId="144525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<sst xmlns="http://schemas.openxmlformats.org/spreadsheetml/2006/main" count="36" uniqueCount="36">
  <si>
    <t>TITAN — Программа продвижения: расчёт стоимости</t>
  </si>
  <si>
    <t>Наименование</t>
  </si>
  <si>
    <t>Описание</t>
  </si>
  <si>
    <t>Стоимость (₽)</t>
  </si>
  <si>
    <t>Брендированные шелфтокеры TITAN для полки дистрибьютора</t>
  </si>
  <si>
    <t>Воблеры TITAN для привлечения внимания к продукту на полке</t>
  </si>
  <si>
    <t>Дообеспечение выкрасами</t>
  </si>
  <si>
    <t>Выкрасы TITAN по результатам сбора потребностей от дистрибьюторов</t>
  </si>
  <si>
    <t>Листовка А4 с расчётом совокупной стоимости владения за 10 лет</t>
  </si>
  <si>
    <t>Видеоинструкция по нанесению (60–90 сек)</t>
  </si>
  <si>
    <t>Обучает покупателя правильно наносить TITAN 3в1 для получения срока службы 10 лет</t>
  </si>
  <si>
    <t>Видеопортфолио объектов (3–5 мин + 60 сек)</t>
  </si>
  <si>
    <t>Видео-презентация для ТП (5–7 мин)</t>
  </si>
  <si>
    <t>Обучающий ролик для ТП дистрибьютора: ключевые свойства TITAN, практика показа выкраса</t>
  </si>
  <si>
    <t>Модернизация сайта и лендинга</t>
  </si>
  <si>
    <t>Обновление разделов TITAN на empils.ru и titanpaints.ru: кейсы, расчёт выгоды, видеоинструкции</t>
  </si>
  <si>
    <t>ЭТАП 2 — Продвижение и digital-маркетинг</t>
  </si>
  <si>
    <t>Видеоотзыв B2B</t>
  </si>
  <si>
    <t>Съёмка видеоотзыва производителя металлоконструкций о применении TITAN</t>
  </si>
  <si>
    <t>Работа с блогером / инфлюенсером</t>
  </si>
  <si>
    <t>Сотрудничество с блогером в сфере ЛКМ для продвижения TITAN</t>
  </si>
  <si>
    <t>Яндекс.Директ (поиск + РСЯ)</t>
  </si>
  <si>
    <t>Контекстная реклама в регионах с высокой представленностью TITAN</t>
  </si>
  <si>
    <t>Продвижение на RuTube</t>
  </si>
  <si>
    <t>Продвижение видео о грунт-эмали TITAN на канале в RuTube</t>
  </si>
  <si>
    <t>Продвижение в VK (геотаргетинг)</t>
  </si>
  <si>
    <t>Таргетированная реклама в VK по геолокации регионов присутствия</t>
  </si>
  <si>
    <t>ИТОГО</t>
  </si>
  <si>
    <t>Ценники с расчётом — «цена за год» vs ПФ-115</t>
  </si>
  <si>
    <t>Листовка TITAN (Совокупная стоимость владения)</t>
  </si>
  <si>
    <t>ЭТАП 1 — База</t>
  </si>
  <si>
    <t>1. Ворота — грунт-эмаль 3в1
2. Дверь металличсекая — молотковый эффект</t>
  </si>
  <si>
    <t>Итого:</t>
  </si>
  <si>
    <t>Шелфтокеры (7500 шт.)</t>
  </si>
  <si>
    <t>Брендированные ценники (3000 шт.)</t>
  </si>
  <si>
    <t>Воблеры (5000 шт.)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</si>
</sst>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\₽"/>
  </numFmts>
  <fonts count="7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b/>
      <sz val="11"/>
      <color rgb="FFFFFFFF"/>
      <name val="Arial"/>
    </font>
    <font>
      <b/>
      <sz val="11"/>
      <color rgb="FFC62828"/>
      <name val="Arial"/>
    </font>
    <font>
      <b/>
      <sz val="10"/>
      <color rgb="FF1A1F36"/>
      <name val="Arial"/>
    </font>
    <font>
      <sz val="10"/>
      <color rgb="FF1A1F36"/>
      <name val="Arial"/>
    </font>
    <font>
      <b/>
      <sz val="10"/>
      <color theme="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EDD5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/>
    <xf numFmtId="164" fontId="6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2" fillId="2" borderId="2" xfId="0" applyFont="1" applyFill="1" applyBorder="1" applyAlignment="1">
      <alignment horizontal="right" vertical="center" wrapText="1"/>
    </xf>
    <xf numFmtId="0" fontId="0" fillId="2" borderId="3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tabSelected="1" topLeftCell="A13" workbookViewId="0">
      <selection activeCell="G13" sqref="G13"/>
    </sheetView>
  </sheetViews>
  <sheetFormatPr defaultRowHeight="15" x14ac:dyDescent="0.25"/>
  <cols>
    <col min="1" max="1" width="3" customWidth="1"/>
    <col min="2" max="2" width="40" customWidth="1"/>
    <col min="3" max="3" width="58.5703125" customWidth="1"/>
    <col min="4" max="4" width="21" customWidth="1"/>
  </cols>
  <sheetData>
    <row r="2" spans="1:4" ht="24.95" customHeight="1" x14ac:dyDescent="0.25">
      <c r="B2" s="13" t="s">
        <v>0</v>
      </c>
      <c r="C2" s="14"/>
      <c r="D2" s="14"/>
    </row>
    <row r="3" spans="1:4" ht="30" customHeight="1" x14ac:dyDescent="0.25">
      <c r="A3" s="1"/>
      <c r="B3" s="2" t="s">
        <v>1</v>
      </c>
      <c r="C3" s="2" t="s">
        <v>2</v>
      </c>
      <c r="D3" s="2" t="s">
        <v>3</v>
      </c>
    </row>
    <row r="4" spans="1:4" x14ac:dyDescent="0.25">
      <c r="B4" s="9" t="s">
        <v>30</v>
      </c>
      <c r="C4" s="10"/>
      <c r="D4" s="10"/>
    </row>
    <row r="5" spans="1:4" ht="27.95" customHeight="1" x14ac:dyDescent="0.25">
      <c r="B5" s="3" t="s">
        <v>33</v>
      </c>
      <c r="C5" s="4" t="s">
        <v>4</v>
      </c>
      <c r="D5" s="15">
        <v>180000</v>
      </c>
    </row>
    <row r="6" spans="1:4" ht="27.95" customHeight="1" x14ac:dyDescent="0.25">
      <c r="B6" s="3" t="s">
        <v>35</v>
      </c>
      <c r="C6" s="4" t="s">
        <v>5</v>
      </c>
      <c r="D6" s="15"/>
    </row>
    <row r="7" spans="1:4" ht="27.95" customHeight="1" x14ac:dyDescent="0.25">
      <c r="B7" s="3" t="s">
        <v>34</v>
      </c>
      <c r="C7" s="4" t="s">
        <v>28</v>
      </c>
      <c r="D7" s="15"/>
    </row>
    <row r="8" spans="1:4" ht="27.95" customHeight="1" x14ac:dyDescent="0.25">
      <c r="B8" s="3" t="s">
        <v>6</v>
      </c>
      <c r="C8" s="4" t="s">
        <v>7</v>
      </c>
      <c r="D8" s="6">
        <v>210000</v>
      </c>
    </row>
    <row r="9" spans="1:4" ht="27.95" customHeight="1" x14ac:dyDescent="0.25">
      <c r="B9" s="3" t="s">
        <v>29</v>
      </c>
      <c r="C9" s="4" t="s">
        <v>8</v>
      </c>
      <c r="D9" s="6">
        <v>40000</v>
      </c>
    </row>
    <row r="10" spans="1:4" ht="27.95" customHeight="1" x14ac:dyDescent="0.25">
      <c r="B10" s="3" t="s">
        <v>9</v>
      </c>
      <c r="C10" s="4" t="s">
        <v>10</v>
      </c>
      <c r="D10" s="6">
        <v>35865</v>
      </c>
    </row>
    <row r="11" spans="1:4" ht="46.5" customHeight="1" x14ac:dyDescent="0.25">
      <c r="B11" s="3" t="s">
        <v>11</v>
      </c>
      <c r="C11" s="4" t="s">
        <v>31</v>
      </c>
      <c r="D11" s="6">
        <v>71724.14</v>
      </c>
    </row>
    <row r="12" spans="1:4" ht="27.95" customHeight="1" x14ac:dyDescent="0.25">
      <c r="B12" s="3" t="s">
        <v>12</v>
      </c>
      <c r="C12" s="4" t="s">
        <v>13</v>
      </c>
      <c r="D12" s="6">
        <v>41611</v>
      </c>
    </row>
    <row r="13" spans="1:4" ht="27.95" customHeight="1" x14ac:dyDescent="0.25">
      <c r="B13" s="3" t="s">
        <v>14</v>
      </c>
      <c r="C13" s="4" t="s">
        <v>15</v>
      </c>
      <c r="D13" s="6">
        <v>20000</v>
      </c>
    </row>
    <row r="14" spans="1:4" s="1" customFormat="1" ht="27.95" customHeight="1" x14ac:dyDescent="0.25">
      <c r="B14" s="11" t="s">
        <v>32</v>
      </c>
      <c r="C14" s="12"/>
      <c r="D14" s="8">
        <f>SUM(D5:D13)</f>
        <v>599200.14</v>
      </c>
    </row>
    <row r="15" spans="1:4" x14ac:dyDescent="0.25">
      <c r="B15" s="9" t="s">
        <v>16</v>
      </c>
      <c r="C15" s="10"/>
      <c r="D15" s="10"/>
    </row>
    <row r="16" spans="1:4" ht="27.95" customHeight="1" x14ac:dyDescent="0.25">
      <c r="B16" s="3" t="s">
        <v>17</v>
      </c>
      <c r="C16" s="4" t="s">
        <v>18</v>
      </c>
      <c r="D16" s="6"/>
    </row>
    <row r="17" spans="2:4" ht="27.95" customHeight="1" x14ac:dyDescent="0.25">
      <c r="B17" s="3" t="s">
        <v>19</v>
      </c>
      <c r="C17" s="4" t="s">
        <v>20</v>
      </c>
      <c r="D17" s="5"/>
    </row>
    <row r="18" spans="2:4" ht="27.95" customHeight="1" x14ac:dyDescent="0.25">
      <c r="B18" s="3" t="s">
        <v>21</v>
      </c>
      <c r="C18" s="4" t="s">
        <v>22</v>
      </c>
      <c r="D18" s="6"/>
    </row>
    <row r="19" spans="2:4" ht="27.95" customHeight="1" x14ac:dyDescent="0.25">
      <c r="B19" s="3" t="s">
        <v>23</v>
      </c>
      <c r="C19" s="4" t="s">
        <v>24</v>
      </c>
      <c r="D19" s="6"/>
    </row>
    <row r="20" spans="2:4" ht="27.95" customHeight="1" x14ac:dyDescent="0.25">
      <c r="B20" s="3" t="s">
        <v>25</v>
      </c>
      <c r="C20" s="4" t="s">
        <v>26</v>
      </c>
      <c r="D20" s="6"/>
    </row>
    <row r="21" spans="2:4" ht="30" customHeight="1" x14ac:dyDescent="0.25">
      <c r="B21" s="11" t="s">
        <v>27</v>
      </c>
      <c r="C21" s="12"/>
      <c r="D21" s="7"/>
    </row>
  </sheetData>
  <mergeCells count="6">
    <mergeCell ref="B15:D15"/>
    <mergeCell ref="B21:C21"/>
    <mergeCell ref="B2:D2"/>
    <mergeCell ref="B4:D4"/>
    <mergeCell ref="D5:D7"/>
    <mergeCell ref="B14:C1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TITAN — расчёт стоимости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2026-08-06T11:58:24Z</dcterms:created>
  <dcterms:modified xsi:type="dcterms:W3CDTF">2026-08-19T04:58:27Z</dcterms:modified>
</cp:coreProperties>
</file>