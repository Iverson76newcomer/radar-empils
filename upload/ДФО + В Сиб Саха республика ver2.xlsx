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/>
  <bookViews>
    <workbookView xWindow="0" yWindow="0" windowWidth="23256" windowHeight="8928" activeTab="2"/>
  </bookViews>
  <sheets>
    <sheet name="база" sheetId="1" r:id="rId1"/>
    <sheet name="ДФО + В Сиб" sheetId="3" r:id="rId2"/>
    <sheet name="Саха республика" sheetId="5" r:id="rId3"/>
  </sheets>
  <externalReferences>
    <externalReference r:id="rId4"/>
  </externalReferences>
  <definedNames>
    <definedName name="ExternalData_1" localSheetId="0" hidden="1">база!$A$1:$G$651</definedName>
  </definedNames>
  <calcPr calcId="144525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2" i="3" l="1"/>
  <c r="P31" i="3"/>
  <c r="P25" i="3"/>
  <c r="P24" i="3"/>
  <c r="P38" i="3"/>
  <c r="P36" i="3"/>
  <c r="P34" i="3"/>
  <c r="P29" i="3"/>
  <c r="P27" i="3"/>
  <c r="P22" i="3"/>
  <c r="P20" i="3"/>
  <c r="P19" i="3"/>
  <c r="P15" i="3"/>
  <c r="P16" i="3"/>
  <c r="P17" i="3"/>
  <c r="P14" i="3"/>
  <c r="O37" i="3"/>
  <c r="O35" i="3"/>
  <c r="O33" i="3"/>
  <c r="O30" i="3"/>
  <c r="O28" i="3"/>
  <c r="O26" i="3"/>
  <c r="O23" i="3"/>
  <c r="O21" i="3"/>
  <c r="O18" i="3"/>
  <c r="O13" i="3"/>
  <c r="K14" i="3" l="1"/>
  <c r="K52" i="3" s="1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13" i="3"/>
  <c r="J52" i="3"/>
  <c r="J28" i="3"/>
  <c r="J17" i="3"/>
  <c r="J47" i="3"/>
  <c r="J48" i="3"/>
  <c r="J15" i="3"/>
  <c r="J37" i="3"/>
  <c r="J41" i="3"/>
  <c r="J23" i="3"/>
  <c r="J29" i="3"/>
  <c r="J40" i="3"/>
  <c r="J35" i="3"/>
  <c r="J32" i="3"/>
  <c r="J42" i="3"/>
  <c r="J49" i="3"/>
  <c r="J50" i="3"/>
  <c r="J34" i="3"/>
  <c r="J38" i="3"/>
  <c r="J36" i="3"/>
  <c r="J44" i="3"/>
  <c r="J39" i="3"/>
  <c r="J43" i="3"/>
  <c r="J46" i="3"/>
  <c r="J31" i="3"/>
  <c r="J45" i="3"/>
  <c r="J16" i="3"/>
  <c r="J21" i="3"/>
  <c r="J22" i="3"/>
  <c r="J33" i="3"/>
  <c r="J27" i="3"/>
  <c r="J30" i="3"/>
  <c r="J26" i="3"/>
  <c r="J18" i="3"/>
  <c r="J13" i="3"/>
  <c r="J14" i="3"/>
  <c r="J25" i="3"/>
  <c r="J20" i="3"/>
  <c r="J24" i="3"/>
  <c r="J19" i="3"/>
  <c r="J51" i="3"/>
  <c r="G14" i="3"/>
  <c r="G28" i="3" s="1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13" i="3"/>
  <c r="F28" i="3"/>
  <c r="D12" i="3"/>
</calcChain>
</file>

<file path=xl/connections.xml><?xml version="1.0" encoding="utf-8"?>
<connections xmlns="http://schemas.openxmlformats.org/spreadsheetml/2006/main">
  <connection id="1" keepAlive="1" name="Запрос — Таблица Краски xlsx" description="Соединение с запросом &quot;Таблица Краски xlsx&quot; в книге." type="5" refreshedVersion="8" background="1" saveData="1">
    <dbPr connection="Provider=Microsoft.Mashup.OleDb.1;Data Source=$Workbook$;Location=Таблица Краски xlsx;Extended Properties=&quot;&quot;" command="SELECT * FROM [Таблица Краски xlsx]"/>
  </connection>
</connections>
</file>

<file path=xl/sharedStrings.xml><?xml version="1.0" encoding="utf-8"?>
<sst xmlns="http://schemas.openxmlformats.org/spreadsheetml/2006/main" count="2891" uniqueCount="581">
  <si>
    <t>География</t>
  </si>
  <si>
    <t>География (объединение)</t>
  </si>
  <si>
    <t>Производитель</t>
  </si>
  <si>
    <t>Контрагент</t>
  </si>
  <si>
    <t>Выручка рынок</t>
  </si>
  <si>
    <t>LTV конкурентов</t>
  </si>
  <si>
    <t>LTV контрагента</t>
  </si>
  <si>
    <t>Сайвер</t>
  </si>
  <si>
    <t>Дугалак</t>
  </si>
  <si>
    <t>Радуга Синтез</t>
  </si>
  <si>
    <t>(Пусто)</t>
  </si>
  <si>
    <t>Иные террит. включая Байконур</t>
  </si>
  <si>
    <t>ЯКОВЛЕВА АННА СЕРГЕЕВНА</t>
  </si>
  <si>
    <t>ПолиР</t>
  </si>
  <si>
    <t>Красноярский край (2)</t>
  </si>
  <si>
    <t>Красноярский край</t>
  </si>
  <si>
    <t>ТАГИРОВ МАРС ФАГУМУТДИНОВИЧ</t>
  </si>
  <si>
    <t>Краски Квил</t>
  </si>
  <si>
    <t>Новый Дом</t>
  </si>
  <si>
    <t>Ярославские краски</t>
  </si>
  <si>
    <t>Русские краски</t>
  </si>
  <si>
    <t>Лакра</t>
  </si>
  <si>
    <t>Рогнеда</t>
  </si>
  <si>
    <t>Кушнаренко Сергей Александрович</t>
  </si>
  <si>
    <t>ЭСКАРО</t>
  </si>
  <si>
    <t>Декарт</t>
  </si>
  <si>
    <t>АВС Фарбен</t>
  </si>
  <si>
    <t>Тиккурилла</t>
  </si>
  <si>
    <t>ВИТ</t>
  </si>
  <si>
    <t>Мефферт</t>
  </si>
  <si>
    <t>Краски оптом</t>
  </si>
  <si>
    <t>Линия красок</t>
  </si>
  <si>
    <t>ООО "ОЛИМП"</t>
  </si>
  <si>
    <t>ТД Радуга</t>
  </si>
  <si>
    <t>Континенталь</t>
  </si>
  <si>
    <t>Краски Белогорья</t>
  </si>
  <si>
    <t>Новбытхим</t>
  </si>
  <si>
    <t>Амурская область</t>
  </si>
  <si>
    <t>ООО "ВИГ"</t>
  </si>
  <si>
    <t>СИЗКОВ ВИКТОР ИВАНОВИЧ</t>
  </si>
  <si>
    <t>Амурснабсбыт</t>
  </si>
  <si>
    <t>Левин</t>
  </si>
  <si>
    <t>Бараков</t>
  </si>
  <si>
    <t>КОЛЫБИХИНА ТАТЬЯНА БОРИСОВНА</t>
  </si>
  <si>
    <t>СИНЕЛЬНИКОВА СВЕТЛАНА АЛЕКСАНДРОВНА</t>
  </si>
  <si>
    <t>ОАО "УПТК  "АМУРСТРОЙ"</t>
  </si>
  <si>
    <t>САМАРЕЦ ЮРИЙ ПАВЛОВИЧ</t>
  </si>
  <si>
    <t>ЛАВРЕНОВ АЛЕКСАНДР ВЛАДИМИРОВИЧ</t>
  </si>
  <si>
    <t>ООО "ДПР"</t>
  </si>
  <si>
    <t>ООО "МАСТЕРА ПЛЮС"</t>
  </si>
  <si>
    <t>МАКАРЕНКО АНДРЕЙ ИВАНОВИЧ</t>
  </si>
  <si>
    <t>ООО "ГИНТАМА"</t>
  </si>
  <si>
    <t>ООО "АЛЬФА-СТРОЙ"</t>
  </si>
  <si>
    <t>ООО "ТЕПЛИЧНЫЙ"</t>
  </si>
  <si>
    <t>Эмпилс</t>
  </si>
  <si>
    <t>Экспертэкология</t>
  </si>
  <si>
    <t>Новоколор</t>
  </si>
  <si>
    <t>Белрегионцентр</t>
  </si>
  <si>
    <t>ООО "СТРОЙГРАД"</t>
  </si>
  <si>
    <t>ООО "ЗВЕЗДА"</t>
  </si>
  <si>
    <t>Оксоль</t>
  </si>
  <si>
    <t>ООО "ЛЕГИОН"</t>
  </si>
  <si>
    <t>ООО "УЮТНЫЙ ДОМ"</t>
  </si>
  <si>
    <t>ООО "МОНОЛИТ"</t>
  </si>
  <si>
    <t>ООО "АЛЬТЕРНАТИВА"</t>
  </si>
  <si>
    <t>ООО "СТРОЙСНАБ"</t>
  </si>
  <si>
    <t>ООО "АЛЬФА-ИНЖИНИРИНГ"</t>
  </si>
  <si>
    <t>ООО "ЛИДЕР"</t>
  </si>
  <si>
    <t>ООО "АВАНГАРД"</t>
  </si>
  <si>
    <t>ООО "СТД"</t>
  </si>
  <si>
    <t>ООО "АКСИОМА"</t>
  </si>
  <si>
    <t>ООО "СТРОЙМИР"</t>
  </si>
  <si>
    <t>ООО "МЕРИДИАН"</t>
  </si>
  <si>
    <t>ООО "ФАВОРИТ"</t>
  </si>
  <si>
    <t>ООО "КЭС"</t>
  </si>
  <si>
    <t>ООО "ГАРАНТСТРОЙ"</t>
  </si>
  <si>
    <t>ООО "МАГНАТ"</t>
  </si>
  <si>
    <t>ООО "ГРАНИТ"</t>
  </si>
  <si>
    <t>ООО "ИСК"</t>
  </si>
  <si>
    <t>ООО "КТК"</t>
  </si>
  <si>
    <t>Еврейская автономная область</t>
  </si>
  <si>
    <t>ДУДНИК ИРИНА ВЛАДИМИРОВНА</t>
  </si>
  <si>
    <t>КОНДРАТЬЕВА АНАСТАСИЯ ГЕННАДЬЕВНА</t>
  </si>
  <si>
    <t>КОВАЛЬСКАЯ НАТАЛЬЯ ГЕННАДЬЕВНА</t>
  </si>
  <si>
    <t>Забайкальский край</t>
  </si>
  <si>
    <t>БЕЛИМОВ АНДРЕЙ АЛЕКСЕЕВИЧ</t>
  </si>
  <si>
    <t>ООО "БАРИС"</t>
  </si>
  <si>
    <t>ООО "КАПИТАЛСТРОЙ"</t>
  </si>
  <si>
    <t>САВОСЬКО БОРИС НИКОЛАЕВИЧ</t>
  </si>
  <si>
    <t>ООО "СТРОЙБУМ"</t>
  </si>
  <si>
    <t>ООО "РЕСПЕКТ ЛТД"</t>
  </si>
  <si>
    <t>ООО "СНАБ"</t>
  </si>
  <si>
    <t>ООО "ЭД СКАР ОПТИК"</t>
  </si>
  <si>
    <t>САЛТАНОВ НИКОЛАЙ МИХАЙЛОВИЧ</t>
  </si>
  <si>
    <t>ООО "МП ТАШИР"</t>
  </si>
  <si>
    <t>СИМАКОВА СВЕТЛАНА ВЛАДИМИРОВНА</t>
  </si>
  <si>
    <t>ООО "МИРИАД"</t>
  </si>
  <si>
    <t>ПЕРМЯКОВ СЕРГЕЙ МИХАЙЛОВИЧ</t>
  </si>
  <si>
    <t>НАЙМУШИНА ЕЛЕНА ВЛАДИМИРОВНА</t>
  </si>
  <si>
    <t>УВАРОВСКИЙ АНДРЕЙ ВЛАДИМИРОВИЧ</t>
  </si>
  <si>
    <t>КАРПОВ АЛЕКСАНДР КОНСТАНТИНОВИЧ</t>
  </si>
  <si>
    <t>РЯБКОВА СВЕТЛАНА СЕРГЕЕВНА</t>
  </si>
  <si>
    <t>РЯДИНСКИЙ ЕВГЕНИЙ АЛЕКСАНДРОВИЧ</t>
  </si>
  <si>
    <t>ШАДРИН СЕРГЕЙ СЕРГЕЕВИЧ</t>
  </si>
  <si>
    <t>ПИВОВАРОВ ДМИТРИЙ ВАСИЛЬЕВИЧ</t>
  </si>
  <si>
    <t>ООО "ТИТАНСТРОЙ"</t>
  </si>
  <si>
    <t>ООО "ВЕЛЕС"</t>
  </si>
  <si>
    <t>ООО "ЗАБРИТЕЙЛ"</t>
  </si>
  <si>
    <t>КИСТЕНЕВА НАТАЛЬЯ АНАТОЛЬЕВНА</t>
  </si>
  <si>
    <t>Спицына</t>
  </si>
  <si>
    <t>Читаглавснаб</t>
  </si>
  <si>
    <t>ТРОШИНА ЛАРИСА ВАСИЛЬЕВНА</t>
  </si>
  <si>
    <t>КУТСАР ИГОРЬ ГЕОРГИЕВИЧ</t>
  </si>
  <si>
    <t>МУСАЕВА ТАТЬЯНА АЛЕКСАНДРОВНА</t>
  </si>
  <si>
    <t>ДАНЬШОВ АЛЕКСЕЙ ВИТАЛЬЕВИЧ</t>
  </si>
  <si>
    <t>ООО "СОЛИД"</t>
  </si>
  <si>
    <t>КОВАЛЕВСКАЯ НАТАЛЬЯ ВИКТОРОВНА</t>
  </si>
  <si>
    <t>Иркутская область</t>
  </si>
  <si>
    <t>ООО "ШЕВРОН"</t>
  </si>
  <si>
    <t>ООО "ЭГИДА"</t>
  </si>
  <si>
    <t>ООО "АЛЬЯНС"</t>
  </si>
  <si>
    <t>ХРАПАЙ ЛИДИЯ АЛЕКСАНДРОВНА</t>
  </si>
  <si>
    <t>САЗОНОВ СЕРГЕЙ АНАТОЛЬЕВИЧ</t>
  </si>
  <si>
    <t>ООО "АНГАРАСТРОЙКЕРАМИКА"</t>
  </si>
  <si>
    <t>ООО  "АВЕНИР"</t>
  </si>
  <si>
    <t>АО "ПРОФСТАЛЬ"</t>
  </si>
  <si>
    <t>ДАШКЕВИЧ АЛЕНА АНАТОЛЬЕВНА</t>
  </si>
  <si>
    <t>ООО "ИЛОТ"</t>
  </si>
  <si>
    <t>ООО "ТСК "ТОН-М"</t>
  </si>
  <si>
    <t>СВИРИДЕНКО ИГОРЬ МИХАЙЛОВИЧ</t>
  </si>
  <si>
    <t>ООО "ТРАВЕРС"</t>
  </si>
  <si>
    <t>ООО "ВОСТОКГРУПСТРОЙ"</t>
  </si>
  <si>
    <t>ООО "ТД БАЙКАЛЬСКИЙ СНАБЖЕНЕЦ"</t>
  </si>
  <si>
    <t>ООО "ПОЛЯРНИК"</t>
  </si>
  <si>
    <t>ПОДСКРЕБЫШЕВ АНДРЕЙ ИВАНОВИЧ</t>
  </si>
  <si>
    <t>МАЛЮГИНА АННА ВЛАДИМИРОВНА</t>
  </si>
  <si>
    <t>ООО "ПРОК-БАЙКАЛ"</t>
  </si>
  <si>
    <t>КЛИМЕНКОВ КОНСТАНТИН ОЛЕГОВИЧ</t>
  </si>
  <si>
    <t>ООО "БАУМАРКЕТ"</t>
  </si>
  <si>
    <t>ООО "АКТОР"</t>
  </si>
  <si>
    <t>ООО "МАРС"</t>
  </si>
  <si>
    <t>ДРОНЬ ИГОРЬ ПАВЛОВИЧ</t>
  </si>
  <si>
    <t>ООО "СИБХОЗТОРГ"</t>
  </si>
  <si>
    <t>ПЕРМЯКОВ ЮРИЙ СЕРГЕЕВИЧ</t>
  </si>
  <si>
    <t>ГРИГОРЬЕВА ЛЮБОВЬ ВАЛЕРЬЕВНА</t>
  </si>
  <si>
    <t>ВИНОГРАДОВА ИРИНА АНАТОЛЬЕВНА</t>
  </si>
  <si>
    <t>ООО "ДОМОВОЙ"</t>
  </si>
  <si>
    <t>ЦЕРЕНКОВ ЕВГЕНИЙ ЛЕОНИДОВИЧ</t>
  </si>
  <si>
    <t>ИВАНОВА КСЕНИЯ АНАТОЛЬЕВНА</t>
  </si>
  <si>
    <t>ООО "ЦЕНТР УПАКОВКИ ИРКУТСК "</t>
  </si>
  <si>
    <t>ООО ТД "БАЗИС"</t>
  </si>
  <si>
    <t>ООО "ЦКИ"</t>
  </si>
  <si>
    <t>ООО "ЕВРОМАРКЕТ"</t>
  </si>
  <si>
    <t>ВАСИЛЬЕВ СЕРГЕЙ ВЛАДИМИРОВИЧ</t>
  </si>
  <si>
    <t>ДОРОФЕЕВ АРТЁМ АЛЕКСЕЕВИЧ</t>
  </si>
  <si>
    <t>ООО "СТРОЙИРКУТСК"</t>
  </si>
  <si>
    <t>ЗАЛУЦКАЯ АННА АЛЕКСАНДРОВНА</t>
  </si>
  <si>
    <t>ФЕДОРОВА ЕЛЕНА ЛЕОНИДОВНА</t>
  </si>
  <si>
    <t>ООО "ТД"</t>
  </si>
  <si>
    <t>ЖУРКИНА ЕКАТЕРИНА ЛЕОНИДОВНА</t>
  </si>
  <si>
    <t>БАРАНОВА ВЕРА ВИКТОРОВНА</t>
  </si>
  <si>
    <t>РЫЛЬКОВ ДЕНИС ВАЛЕРИЕВИЧ</t>
  </si>
  <si>
    <t>ВИНОГРАДОВА ТАТЬЯНА ГЕННАДЬЕВНА</t>
  </si>
  <si>
    <t>МАУ ШР "ОЗДОРОВИТЕЛЬНЫЙ ЦЕНТР"</t>
  </si>
  <si>
    <t>ООО "ВОСТОК"</t>
  </si>
  <si>
    <t>КАЛМЫКОВА ЛЮБОВЬ ВЛАДИМИРОВНА</t>
  </si>
  <si>
    <t>МАКАРОВА ОЛЬГА ГРИГОРЬЕВНА</t>
  </si>
  <si>
    <t>МАКАРОВ ОЛЕГ ИВАНОВИЧ</t>
  </si>
  <si>
    <t>ООО "ИДСК"</t>
  </si>
  <si>
    <t>СТАРОВЕРОВА НАТАЛЬЯ ПАВЛОВНА</t>
  </si>
  <si>
    <t>ВЛАСОВА ЕЛЕНА НИКОЛАЕВНА</t>
  </si>
  <si>
    <t>БИШАЕВ АРТЕМ ВИКТОРОВИЧ</t>
  </si>
  <si>
    <t>ООО "УПТК"</t>
  </si>
  <si>
    <t>БЕРДНИКОВ ВАСИЛИЙ ИВАНОВИЧ</t>
  </si>
  <si>
    <t>ЕГОРОВА КСЕНИЯ СЕРГЕЕВНА</t>
  </si>
  <si>
    <t>ООО "СТРОИТЕЛЬНАЯ КОМПАНИЯ "ДОМОЙ"</t>
  </si>
  <si>
    <t>ШЕМЕТОВ ЭДУАРД КОНСТАНТИНОВИЧ</t>
  </si>
  <si>
    <t>ЗУБОВА ЮЛИЯ АЛЕКСАНДРОВНА</t>
  </si>
  <si>
    <t>ООО "ПК "РЕАЛСТРОЙ"</t>
  </si>
  <si>
    <t>ООО "СНАБЖЕНИЕ"</t>
  </si>
  <si>
    <t>ООО "РОСТ"</t>
  </si>
  <si>
    <t>КУЗЬМИН ЮРИЙ НИКОЛАЕВИЧ</t>
  </si>
  <si>
    <t>ПРОНЬКИН ВИТАЛИЙ ВИКТОРОВИЧ</t>
  </si>
  <si>
    <t>ООО "СИСТЕМА ЭТАЛОН"</t>
  </si>
  <si>
    <t>ДУШКО МИХАИЛ ВАСИЛЬЕВИЧ</t>
  </si>
  <si>
    <t>КРЮКОВА АНГЕЛИНА АЛЕКСЕЕВНА</t>
  </si>
  <si>
    <t>ООО "А СТИЛЬ"</t>
  </si>
  <si>
    <t>КИЧИНБАЕВА ГУЛЬЧЕРАЙ ШИРАЛИЕВНА</t>
  </si>
  <si>
    <t>ООО СК "ВОСТСИБСТРОЙ"</t>
  </si>
  <si>
    <t>ОКЛАДНИКОВА ОКСАНА ВИКТОРОВНА</t>
  </si>
  <si>
    <t>ВОСТРИКОВА ЛЮДМИЛА ИЛЬИНИЧНА</t>
  </si>
  <si>
    <t>ООО "СИБСТАЛЬСТРОЙ"</t>
  </si>
  <si>
    <t>ООО "РЕМОНТНЫЙ ЗАВОД"</t>
  </si>
  <si>
    <t>ГИГИН ИГОРЬ АЛЕКСАНДРОВИЧ</t>
  </si>
  <si>
    <t>ООО "СИНКО"</t>
  </si>
  <si>
    <t>КУЗНЕЦОВА ЕЛЕНА ЛЬВОВНА</t>
  </si>
  <si>
    <t>ТОРБИН ВЯЧЕСЛАВ СЕРГЕЕВИЧ</t>
  </si>
  <si>
    <t>ЗЫКОВ ДМИТРИЙ АНАТОЛЬЕВИЧ</t>
  </si>
  <si>
    <t>ООО "АЙХАЛ"</t>
  </si>
  <si>
    <t>ООО "АЛЬФАВЕНТ"</t>
  </si>
  <si>
    <t>ООО ТД "ПАРТНЕР"</t>
  </si>
  <si>
    <t>ООО "ТК СИБЭНЕРГО"</t>
  </si>
  <si>
    <t>ШЕРСТЯННИКОВА ЛЮБОВЬ ВАЛЕРИЕВНА</t>
  </si>
  <si>
    <t>ООО "АНТОРГ"</t>
  </si>
  <si>
    <t>КАРГИНА ТАТЬЯНА ИВАНОВНА</t>
  </si>
  <si>
    <t>ПЕТРОВА ВЕРА АЛЕКСАНДРОВНА</t>
  </si>
  <si>
    <t>ООО "МАРТ"</t>
  </si>
  <si>
    <t>ООО "ИРКУТСКИЕ КОНВЕЙЕРНЫЕ СИСТЕМЫ"</t>
  </si>
  <si>
    <t>ООО "СИБЛАБСЕРВИС"</t>
  </si>
  <si>
    <t>ООО "МАРМОЛ"</t>
  </si>
  <si>
    <t>УХАНОВА НАТАЛЬЯ АЛЕКСАНДРОВНА</t>
  </si>
  <si>
    <t>ООО "БУДУАР"</t>
  </si>
  <si>
    <t>ПОПОВА МАРИНА СЕРГЕЕВНА</t>
  </si>
  <si>
    <t>ООО "УСПЕХ ИНВЕСТ"</t>
  </si>
  <si>
    <t>ООО "ТЕХНОСЕРВ ИРКУТСК"</t>
  </si>
  <si>
    <t>ООО "БОГАТЫРЬ"</t>
  </si>
  <si>
    <t>ИСОЯН МАРИНЕ РУБИКОВНА</t>
  </si>
  <si>
    <t>ООО ПК "КЕДР"</t>
  </si>
  <si>
    <t>КРУПКО ЕЛЕНА АЛЕКСАНДРОВНА</t>
  </si>
  <si>
    <t>ООО "УК ИЖС"</t>
  </si>
  <si>
    <t>ТИРСКИХ НАТАЛЬЯ ВАСИЛЬЕВНА</t>
  </si>
  <si>
    <t>ООО "АСК"</t>
  </si>
  <si>
    <t>ООО "ТЕХТАУН"</t>
  </si>
  <si>
    <t>ООО "ДАИЧИ-БАЙКАЛ"</t>
  </si>
  <si>
    <t>ООО "ПРОЦЕСССТРОЙ"</t>
  </si>
  <si>
    <t>ООО "СОЛДИ"</t>
  </si>
  <si>
    <t>ЗУБОВА ЕЛЕНА АЛЕКСАНДРОВНА</t>
  </si>
  <si>
    <t>ООО "КРАФТ ТРЕЙД"</t>
  </si>
  <si>
    <t>ПОРОСНЫХ АЛЕКСЕЙ ОЛЕГОВИЧ</t>
  </si>
  <si>
    <t>СУХИХ АНАТОЛИЙ ВЛАДИМИРОВИЧ</t>
  </si>
  <si>
    <t>КУПРИЯНОВ ЕВГЕНИЙ АНДРЕЕВИЧ</t>
  </si>
  <si>
    <t>ООО "ТЕХНОЛОГИИ ГАЗОСНАБЖЕНИЯ"</t>
  </si>
  <si>
    <t>ООО "ДЖИНАТЭК"</t>
  </si>
  <si>
    <t>ООО "БЦ"ЛАДОГА"</t>
  </si>
  <si>
    <t>ООО "БТГ"</t>
  </si>
  <si>
    <t>ООО "ТД "МАЯК"</t>
  </si>
  <si>
    <t>ООО "УПС"</t>
  </si>
  <si>
    <t>УХОВ АНДРЕЙ ВАСИЛЬЕВИЧ</t>
  </si>
  <si>
    <t>ВЕРХОЗИН АЛЕКСЕЙ АЛЕКСАНДРОВИЧ</t>
  </si>
  <si>
    <t>ВОРОБЬЁВА ЕЛЕНА ВАЛЕРЬЕВНА</t>
  </si>
  <si>
    <t>Уютный дом</t>
  </si>
  <si>
    <t>ООО "ТД ПАЛИТРА"</t>
  </si>
  <si>
    <t>ООО "ХИМЛАК"</t>
  </si>
  <si>
    <t>ООО ГРУППА КОМПАНИЙ "СТРОЙ ЦЕНТР"</t>
  </si>
  <si>
    <t>ООО "ИРХИМ"</t>
  </si>
  <si>
    <t>ООО "ИРКУТСКИЙ ЭТЗ"</t>
  </si>
  <si>
    <t>КОНСТАНТИНОВ ФЁДОР ВАЛЕРЬЕВИЧ</t>
  </si>
  <si>
    <t>МОРОШАН АЛЕКСЕЙ АНАТОЛЬЕВИЧ</t>
  </si>
  <si>
    <t>ООО "БЭМЗ"</t>
  </si>
  <si>
    <t>ООО "ФАБРИКА УПАКОВКИ"</t>
  </si>
  <si>
    <t>ООО "КРАСЛЭНД"</t>
  </si>
  <si>
    <t>ООО "СО-ЕДИНЕНИЕ"</t>
  </si>
  <si>
    <t>ООО "КАПИТЕЛЬ ИРКУТСК"</t>
  </si>
  <si>
    <t>АО "ЭНЕРПРЕД"</t>
  </si>
  <si>
    <t>КУДИНОВ КОНСТАНТИН МИХАЙЛОВИЧ</t>
  </si>
  <si>
    <t>ООО "БАЙКАЛ АЛКО"</t>
  </si>
  <si>
    <t>ООО "БАЙКАЛЬСКИЕ КРАСКИ"</t>
  </si>
  <si>
    <t>КУЧЕРЮК АРКАДИЙ ЮРЬЕВИЧ</t>
  </si>
  <si>
    <t>ООО "ОПТИМА"</t>
  </si>
  <si>
    <t>ООО "СТО"</t>
  </si>
  <si>
    <t>ООО "ИЗТМ-ИНЖИНИРИНГ"</t>
  </si>
  <si>
    <t>МИХАЙЛОВА МАРИЯ АЛЕКСАНДРОВНА</t>
  </si>
  <si>
    <t>ООО "ФАСАД КОЛОР БАЙКАЛ"</t>
  </si>
  <si>
    <t>ПОТАПОВА ЕЛЕНА ВАЛЕРЬЕВНА</t>
  </si>
  <si>
    <t>ООО "КНАУФ ГИПС БАЙКАЛ"</t>
  </si>
  <si>
    <t>ООО "ХИМСЕРВИС"</t>
  </si>
  <si>
    <t>ООО "ИЗГТ"</t>
  </si>
  <si>
    <t>ДАНИЛЕНКО АНДРЕЙ ВАСИЛЬЕВИЧ</t>
  </si>
  <si>
    <t>БУСЫГИН РОМАН АНДРЕЕВИЧ</t>
  </si>
  <si>
    <t>ИВЖЕНКОВА ЕЛЕНА ЮРЬЕВНА</t>
  </si>
  <si>
    <t>КУПРИНА ТАТЬЯНА ВИКТОРОВНА</t>
  </si>
  <si>
    <t>ООО 220 В"</t>
  </si>
  <si>
    <t>ООО "ИРМАШ"</t>
  </si>
  <si>
    <t>Камчатский край</t>
  </si>
  <si>
    <t>ООО "ПЕРСПЕКТИВА-ЛКМ"</t>
  </si>
  <si>
    <t>ООО  "ТЕХНОСИСТЕМА"</t>
  </si>
  <si>
    <t>ООО "ТОРГОВАЯ КОМПАНИЯ "ГАНАЛЫ"</t>
  </si>
  <si>
    <t>ДЕРЮГИНА ТАТЬЯНА НИКОЛАЕВНА</t>
  </si>
  <si>
    <t>МАМЧЕНКОВ ДМИТРИЙ ОЛЕГОВИЧ</t>
  </si>
  <si>
    <t>МЕЛЬНИКОВ АЛЕКСЕЙ НИКОЛАЕВИЧ</t>
  </si>
  <si>
    <t>МОСКАЛЕВ ПЕТР ЕГОРОВИЧ</t>
  </si>
  <si>
    <t>СЕХИН МИХАИЛ МИХАЙЛОВИЧ</t>
  </si>
  <si>
    <t>Саленко</t>
  </si>
  <si>
    <t>ЛАЗАРЕВ РОМАН ВЛАДИМИРОВИЧ</t>
  </si>
  <si>
    <t>КИБАЛЮК СЕРГЕЙ ДМИТРИЕВИЧ</t>
  </si>
  <si>
    <t>САВЕЛЬЕВА ВАЛЕРИЯ ЮРЬЕВНА</t>
  </si>
  <si>
    <t>ООО "ТД СПЕКТР"</t>
  </si>
  <si>
    <t>ООО"БЛЕСКОМФОРТ"</t>
  </si>
  <si>
    <t>АО "ОЗЕРНОВСКИЙ РКЗ № 55"</t>
  </si>
  <si>
    <t>ДЕРЕВЯГИН ДЕНИС ВИКТОРОВИЧ</t>
  </si>
  <si>
    <t>АО "АКРОС"</t>
  </si>
  <si>
    <t>СУЧКОВ АЛЕКСЕЙ НИКОЛАЕВИЧ</t>
  </si>
  <si>
    <t>ООО "ТЕХТОРГ"</t>
  </si>
  <si>
    <t>ООО "ВИРАЖ"</t>
  </si>
  <si>
    <t>ООО "ДЕДАЛ ПЛЮС"</t>
  </si>
  <si>
    <t>ООО "ГРАНД-ТРЕЙД"</t>
  </si>
  <si>
    <t>ООО "ГРУПП СИБ ХОЛДИНГ"</t>
  </si>
  <si>
    <t>ООО "СПЕЦПОКРЫТИЕ"</t>
  </si>
  <si>
    <t>СИМОНОВА ЕЛЕНА ПАВЛОВНА</t>
  </si>
  <si>
    <t>КОЖЕВНИКОВ ПАВЕЛ МИХАЙЛОВИЧ</t>
  </si>
  <si>
    <t>МИМА ЮРИЙ ВЛАДИМИРОВИЧ</t>
  </si>
  <si>
    <t>ООО ЭПФ "ПИЛОН"</t>
  </si>
  <si>
    <t>СЛЕПЧЕНКО ВЯЧЕСЛАВ ВИКТОРОВИЧ</t>
  </si>
  <si>
    <t>ООО ПКФ "ХОЗКОМПЛЕКТ"</t>
  </si>
  <si>
    <t>КРЯЖЕВ АЛЕКСЕЙ АНАТОЛЬЕВИЧ</t>
  </si>
  <si>
    <t>ДУБОВЕНКО СЕРГЕЙ ЮРЬЕВИЧ</t>
  </si>
  <si>
    <t>САМСОНОВА ЕКАТЕРИНА АЛЕКСАНДРОВНА</t>
  </si>
  <si>
    <t>ШИПИЛИНА ЗИНАИДА МИТРОФАНОВНА</t>
  </si>
  <si>
    <t>ЛИШУТИН АЛЕКСАНДР ВИКТОРОВИЧ</t>
  </si>
  <si>
    <t>РЫБИН АНДРЕЙ ВЛАДИМИРОВИЧ</t>
  </si>
  <si>
    <t>ООО "ВИРАЖ ПЛЮС"</t>
  </si>
  <si>
    <t>ООО "КЛК"</t>
  </si>
  <si>
    <t>Красхим</t>
  </si>
  <si>
    <t>ГАРЕЕВА ЕКАТЕРИНА АЛЕКСАНДРОВНА</t>
  </si>
  <si>
    <t>ЖАДАЕВА АЛИНА ПАВЛОВНА</t>
  </si>
  <si>
    <t>ООО " КРАСХИМРЕСУРС "</t>
  </si>
  <si>
    <t>ООО "АЛКОТРЭЙД 66"</t>
  </si>
  <si>
    <t>ООО "АЗИЯ ЛОГИСТИК"</t>
  </si>
  <si>
    <t>ООО "ВИТАЛ 74"</t>
  </si>
  <si>
    <t>ГАЙДАР АЛЕКСАНДР АЛЕКСАНДРОВИЧ</t>
  </si>
  <si>
    <t>ООО "ЭЛХИМ"</t>
  </si>
  <si>
    <t>ООО "ВИТАЛ"</t>
  </si>
  <si>
    <t>ДОРОГАНЁВ ВАСИЛИЙ АЛЕКСАНДРОВИЧ</t>
  </si>
  <si>
    <t>ООО "СПЕЦЭЛЕКТРОДСЕРВИС"</t>
  </si>
  <si>
    <t>МАРТЫНОВА ИРИНА ВАСИЛЬЕВНА</t>
  </si>
  <si>
    <t>Электромир</t>
  </si>
  <si>
    <t>ООО "ЮГ ЛОГИСТИК"</t>
  </si>
  <si>
    <t>ООО "ЮЖНЫЙ"</t>
  </si>
  <si>
    <t>ООО "СТЦ"</t>
  </si>
  <si>
    <t>ООО ТД "КОМПОЗИТ СИБИРЬ"</t>
  </si>
  <si>
    <t>ЗАО "КРАСНОЯРСКАЯ ФИРМА БИРЮСИНКА", ЗАО "КФ БИРЮСИНКА"</t>
  </si>
  <si>
    <t>ООО "ОПТИМИСТ СИБИРЬ"</t>
  </si>
  <si>
    <t>ООО "КОМПАНИЯ АВАНТИ"</t>
  </si>
  <si>
    <t>ООО "АЭРОПОРТ ЕМЕЛЬЯНОВО"</t>
  </si>
  <si>
    <t>ООО "ШТИЛЬ"</t>
  </si>
  <si>
    <t>ООО ДИАМАНТ"</t>
  </si>
  <si>
    <t>ООО "СК"</t>
  </si>
  <si>
    <t>ООО "ФИТ"</t>
  </si>
  <si>
    <t>ООО "УКС"</t>
  </si>
  <si>
    <t>ЦУКАНОВА ТАТЬЯНА ГЕННАДЬЕВНА</t>
  </si>
  <si>
    <t>КАЛОЕВ ВЛАДИМИР ЮРЬЕВИЧ</t>
  </si>
  <si>
    <t>ООО "АЛМАЗ ИНЖИНИРИНГ"</t>
  </si>
  <si>
    <t>КАЗАРЕНКО АЛЕКСЕЙ АЛЕКСАНДРОВИЧ</t>
  </si>
  <si>
    <t>ООО "ПАРИТЕТ РБ"</t>
  </si>
  <si>
    <t>ООО "РН-ВАНКОР"</t>
  </si>
  <si>
    <t>ДЖЕГЕТ АНДРЕЙ ВИТАЛЬЕВИЧ</t>
  </si>
  <si>
    <t>ООО "ДЕКОР-М"</t>
  </si>
  <si>
    <t>ООО "АМИКАН"</t>
  </si>
  <si>
    <t>МУХАМЕДОВА ИРИНА ВАЛЕНТИНОВНА</t>
  </si>
  <si>
    <t>ООО "ФМ-СЕРВИС"</t>
  </si>
  <si>
    <t>ООО "АЗУР ЭЙР"</t>
  </si>
  <si>
    <t>АО "ДЦВ КРАСНОЯРСКОЙ Ж.Д."</t>
  </si>
  <si>
    <t>Магаданская область</t>
  </si>
  <si>
    <t>ООО "КВАРЦ"</t>
  </si>
  <si>
    <t>СУХАЧЁВ АЛЕКСЕЙ АЛЕКСЕЕВИЧ</t>
  </si>
  <si>
    <t>СИТЯЕВ АНДРЕЙ ПЕТРОВИЧ</t>
  </si>
  <si>
    <t>ООО "ГРИНПРОДУКТ"</t>
  </si>
  <si>
    <t>НОВИЧОК АЛЕКСАНДР ЕВГЕНЬЕВИЧ</t>
  </si>
  <si>
    <t>АКСЕНОВА НАТАЛЬЯ ВЛАДИМИРОВНА</t>
  </si>
  <si>
    <t>ООО "ВИНАТ"</t>
  </si>
  <si>
    <t>КИТАЙЧУК ЕКАТЕРИНА ВИКТОРОВНА</t>
  </si>
  <si>
    <t>ООО "ЭВРИКА"</t>
  </si>
  <si>
    <t>ООО "СГК"</t>
  </si>
  <si>
    <t>ООО "АТК СИБИРЬ"</t>
  </si>
  <si>
    <t>Республика Саха</t>
  </si>
  <si>
    <t>ДО МИРА ВЛАДИМИРОВНА</t>
  </si>
  <si>
    <t>ЕГОРОВА НАДЕЖДА НИКОЛАЕВНА</t>
  </si>
  <si>
    <t>БАДАЕВА САРГЫЛАНА ВАСИЛЬЕВНА</t>
  </si>
  <si>
    <t>ЕРЫШКАНОВ ВЛАДИМИР ВЛАДИМИРОВИЧ</t>
  </si>
  <si>
    <t>ООО "АВТОЛАЙФ"</t>
  </si>
  <si>
    <t>ПЕТРОВА ИННА ЕВГЕНЬЕВНА</t>
  </si>
  <si>
    <t>ПРАСКОВА АНАСТАСИЯ СЕРГЕЕВНА</t>
  </si>
  <si>
    <t>НИГМАТЗЯНОВ ОЛЕГ МИХАЙЛОВИЧ</t>
  </si>
  <si>
    <t>СЕРДЮК АЛЕКСАНДР ВЛАДИМИРОВИЧ</t>
  </si>
  <si>
    <t>АЛЕКСАНДРОВА АЛЕКСАНДРА АЛЕКСАНДРОВНА</t>
  </si>
  <si>
    <t>САВВИНОВ ЕГОР ЕГОРОВИЧ</t>
  </si>
  <si>
    <t>ФИЛИМОНОВА ГАЛИНА МИХАЙЛОВНА</t>
  </si>
  <si>
    <t>МЕСТНИКОВА ЛИРА РЕВОЛЬЕВНА</t>
  </si>
  <si>
    <t>ГЛАДКИХ АРТЕМ АЛЕКСАНДРОВИЧ</t>
  </si>
  <si>
    <t>ООО "ВЛ ЛЕС"</t>
  </si>
  <si>
    <t>ЮРЧЕНКО ЗИНАИДА АЛЕКСЕЕВНА</t>
  </si>
  <si>
    <t>СОЛОВЬЕВ ДМИТРИЙ БОРИСОВИЧ</t>
  </si>
  <si>
    <t>ООО "ЯКУТКЕРАМИКА"</t>
  </si>
  <si>
    <t>ПОЛЮХОВИЧ ЯРОСЛАВ ПЕТРОВИЧ</t>
  </si>
  <si>
    <t>БУРЦЕВ АЛЕКСЕЙ АФАНАСЬЕВИЧ</t>
  </si>
  <si>
    <t>ВАСИЛЬЕВ ВЯЧЕСЛАВ САВВИЧ</t>
  </si>
  <si>
    <t>ЯКУШКОВ АЛЕКСАНДР АЛЕКСАНДРОВИЧ</t>
  </si>
  <si>
    <t>ОСИПОВА МАРИАННА ЕЛИЗАРОВНА</t>
  </si>
  <si>
    <t>МУРУНОВ ТРОФИМ НИКОЛАЕВИЧ</t>
  </si>
  <si>
    <t>ПЕТРОВ ГРИГОРИЙ ЮРЬЕВИЧ</t>
  </si>
  <si>
    <t>ИВАНОВ АЛЕКСЕЙ КОНСТАНТИНОВИЧ</t>
  </si>
  <si>
    <t>Современный дом</t>
  </si>
  <si>
    <t>ИВАНОВ ГРИГОРИЙ СЕМЕНОВИЧ</t>
  </si>
  <si>
    <t>КОЛОДЕЗНИКОВА АЙТАЛИНА ИННОКЕНТЬЕВНА</t>
  </si>
  <si>
    <t>ООО "ТРЭЙДЕР"</t>
  </si>
  <si>
    <t>ИЛЬЧЕНКО ОЛЬГА ГЕННАДИЕВНА</t>
  </si>
  <si>
    <t>ООО "ЮМА ГРУПП"</t>
  </si>
  <si>
    <t>БАЙРАМИДИ СТАНИСЛАВ ВЛАДИМИРОВИЧ</t>
  </si>
  <si>
    <t>ООО "СИБНОРД"</t>
  </si>
  <si>
    <t>АЛЕКСЕЕВ ПЕТР СПИРИДОНОВИЧ</t>
  </si>
  <si>
    <t>ООО "ОРИОН-ЭКСПРЕССИЯ"</t>
  </si>
  <si>
    <t>МОЗГОВАЯ НАТАЛЬЯ ГРИГОРЬЕВНА</t>
  </si>
  <si>
    <t>ООО "НОРДТОРГ"</t>
  </si>
  <si>
    <t>Республика Хакасия</t>
  </si>
  <si>
    <t>КУЛИКОВ ЕВГЕНИЙ МИХАЙЛОВИЧ</t>
  </si>
  <si>
    <t>Есиневич</t>
  </si>
  <si>
    <t>ПОЛЬКИНА НАТАЛЬЯ АЛЕКСЕЕВНА</t>
  </si>
  <si>
    <t>ООО ТД "ПРЕМЬЕР"</t>
  </si>
  <si>
    <t>ВАН СЯОШУАЙ</t>
  </si>
  <si>
    <t>ООО "ЦЕНТРСТРОЙСНАБ"</t>
  </si>
  <si>
    <t>ООО "АРСЕНАЛ РТИ"</t>
  </si>
  <si>
    <t>Сахалинская область</t>
  </si>
  <si>
    <t>ПЕСКОВ ТИМУР ЮРЬЕВИЧ</t>
  </si>
  <si>
    <t>КАРПИНСКИЙ ВИКТОР ИВАНОВИЧ</t>
  </si>
  <si>
    <t>ООО "СПЕКТРСАХ"</t>
  </si>
  <si>
    <t>ТОКАРЕВ ВЯЧЕСЛАВ ГЕОРГИЕВИЧ</t>
  </si>
  <si>
    <t>ООО "СК ОМЕГА"</t>
  </si>
  <si>
    <t>ООО "ДАЛЬСАХСТРОЙ"</t>
  </si>
  <si>
    <t>НОЩЕНКО ДМИТРИЙ ВЛАДИМИРОВИЧ</t>
  </si>
  <si>
    <t>ООО "ТД ЗОДЧИЙ"</t>
  </si>
  <si>
    <t>ООО "СИМОСТ"</t>
  </si>
  <si>
    <t>ООО "ВОСТОК-МГК"</t>
  </si>
  <si>
    <t>ООО "ПЕРЕВАЛ"</t>
  </si>
  <si>
    <t>ООО "ФЕМКО-МЕНЕДЖМЕНТ"</t>
  </si>
  <si>
    <t>ИГОНТОВ ДМИТРИЙ АЛЕКСАНДРОВИЧ</t>
  </si>
  <si>
    <t>ООО "НЕФТЕГАЗСНАБ"</t>
  </si>
  <si>
    <t>ООО "АРМАДА"</t>
  </si>
  <si>
    <t>ПАК ИГОРЬ СУНГВАНОВИЧ</t>
  </si>
  <si>
    <t>БИВОЛ ИВАН КОНСТАНТИНОВИЧ</t>
  </si>
  <si>
    <t>ДУБОВЧЕНКО АНДРЕЙ ВИКТОРОВИЧ</t>
  </si>
  <si>
    <t>ООО "ТЕХНОДОМ"</t>
  </si>
  <si>
    <t>ООО "ПЕРВАЯ ГАЗОВАЯ КОМПАНИЯ"</t>
  </si>
  <si>
    <t>ООО "КСА ДОЙТАГ РАША"</t>
  </si>
  <si>
    <t>ООО "АКВАРЕЛЬ"</t>
  </si>
  <si>
    <t>ООО "СМИТ"</t>
  </si>
  <si>
    <t>Хабаровский край</t>
  </si>
  <si>
    <t>Дубинин</t>
  </si>
  <si>
    <t>СЕВАСТЬЯНОВ ЭДУАРД ЮРЬЕВИЧ</t>
  </si>
  <si>
    <t>БУРДИНСКИЙ АНДРЕЙ ВЛАДИМИРОВИЧ</t>
  </si>
  <si>
    <t>ООО "ВСТК-СЕРВИС"</t>
  </si>
  <si>
    <t>ООО "КОМПАНИЯ АЮСС"</t>
  </si>
  <si>
    <t>ООО "ХИМТРЕЙД"</t>
  </si>
  <si>
    <t>ООО "ФАРБЕН УФА"</t>
  </si>
  <si>
    <t>ООО "КВАРТ"</t>
  </si>
  <si>
    <t>ООО "ПЛАЗА ДЕКОР"</t>
  </si>
  <si>
    <t>АО "УЛКЗ"</t>
  </si>
  <si>
    <t>ООО "БОБЁР ПОСТАВКА"</t>
  </si>
  <si>
    <t>ТАРАСОВА ЮЛИЯ ВЯЧЕСЛАВОВНА</t>
  </si>
  <si>
    <t>ДАНИЛОВ СЕРГЕЙ ВЛАДИМИРОВИЧ</t>
  </si>
  <si>
    <t>ГИЛЬМАНШИН САЛАВАТ КАМИЛОВИЧ</t>
  </si>
  <si>
    <t>ООО "ПК РЕАЛ"</t>
  </si>
  <si>
    <t>ЦАПАЛОВ ВЛАДИМИР СЕРГЕЕВИЧ</t>
  </si>
  <si>
    <t>ООО "КОММУНПРОМСТРОЙ"</t>
  </si>
  <si>
    <t>МИРОНОВА ЕКАТЕРИНА ПАВЛОВНА</t>
  </si>
  <si>
    <t>ООО ЛКЗ "ДЕОЛЬ"</t>
  </si>
  <si>
    <t>ВАЛЕЕВ РАФАИЛ ЮМАГИЛЬДЕЕВИЧ</t>
  </si>
  <si>
    <t>МАКСИМЕНКО ЕВГЕНИЙ ВЛАДИМИРОВИЧ</t>
  </si>
  <si>
    <t>ООО "ПИТТУРА"</t>
  </si>
  <si>
    <t>ГУСЛИСТОВ ИГОРЬ НИКОЛАЕВИЧ</t>
  </si>
  <si>
    <t>КУЛАГИНА НАДЕЖДА ЮРЬЕВНА</t>
  </si>
  <si>
    <t>ШУМЕЙКО ДМИТРИЙ ЭЛИКСОВИЧ</t>
  </si>
  <si>
    <t>ООО "КОМТЕЛЭНЕРГО"</t>
  </si>
  <si>
    <t>ООО "ТД "ВТР"</t>
  </si>
  <si>
    <t>АО "СТЕКЛОНИТ"</t>
  </si>
  <si>
    <t>ООО "РБ МОТОРС"</t>
  </si>
  <si>
    <t>МАМЛЕЕВА КАРИНА РУСТЭМОВНА</t>
  </si>
  <si>
    <t>БАРКОВ АЛЕКСАНДР АЛЕКСАНДРОВИЧ</t>
  </si>
  <si>
    <t>МАЛЫШЕНКОВ ОЛЕГ ЛЕОНИДОВИЧ</t>
  </si>
  <si>
    <t>АО "СТН-Б"</t>
  </si>
  <si>
    <t>ООО "СТРОЙСБЫТ-ДВ"</t>
  </si>
  <si>
    <t>ООО "АЗБУКА КРАСОК"</t>
  </si>
  <si>
    <t>ООО "ФОРМАТ-ДВ"</t>
  </si>
  <si>
    <t>ООО "ГИДРОМАШУФА"</t>
  </si>
  <si>
    <t>ООО "АРДИС ДВ"</t>
  </si>
  <si>
    <t>ООО "ТД НАВИГАТОР"</t>
  </si>
  <si>
    <t>ООО "МИРЭКС ДВ"</t>
  </si>
  <si>
    <t>ООО "АЛЬФАСТРОЙ"</t>
  </si>
  <si>
    <t>КУХАРЧУК МАРИЯ СЕРГЕЕВНА</t>
  </si>
  <si>
    <t>КИЕВЦЕВ АЛЕКСЕЙ ВЛАДИМИРОВИЧ</t>
  </si>
  <si>
    <t>ХАБИРОВ ТИМУР МАРАТОВИЧ</t>
  </si>
  <si>
    <t>ООО ТК "ГРАНД"</t>
  </si>
  <si>
    <t>ХАЙРЕТДИНОВА ОКСАНА РАФАИЛОВНА</t>
  </si>
  <si>
    <t>ЯМГУРОВ ИЛЬДАР УСМАНОВИЧ</t>
  </si>
  <si>
    <t>ООО "РЕМСИТИ"</t>
  </si>
  <si>
    <t>ООО "АКВАТИКА-СТРОЙ"</t>
  </si>
  <si>
    <t>ООО "НПФ"РУМИКС"</t>
  </si>
  <si>
    <t>САЛЯХОВ АЙДАР ЯНИСОВИЧ</t>
  </si>
  <si>
    <t>ООО "ПРОФСАН ДВ"</t>
  </si>
  <si>
    <t>ООО ПП "ПРОМТЕХРЕСУРСЫ"</t>
  </si>
  <si>
    <t>ГАРИФУЛЛИНА КАМИЛЛА АЙРАТОВНА</t>
  </si>
  <si>
    <t>ООО "НТФ "ВОСТОКНЕФТЕГАЗ"</t>
  </si>
  <si>
    <t>ООО "КОМПАНИЯ ГАММА"</t>
  </si>
  <si>
    <t>ООО "КОМПАНИЯ "КОВЧЕГ"</t>
  </si>
  <si>
    <t>ООО "МИСТЕР"</t>
  </si>
  <si>
    <t>ПЕТРОВА АННА АЛЕКСАНДРОВНА</t>
  </si>
  <si>
    <t>АРСЛАНОВ ШАМИЛЬ ФОАТОВИЧ</t>
  </si>
  <si>
    <t>ООО "ТД "АЛЬЯНС-СТРОЙ"</t>
  </si>
  <si>
    <t>ФКУ "ОСК ВОСТОЧНОГО ВОЕННОГО ОКРУГА"</t>
  </si>
  <si>
    <t>ПАО "УФАОРГСИНТЕЗ"</t>
  </si>
  <si>
    <t>ООО "БАШНЕФТЬ-ДОБЫЧА"</t>
  </si>
  <si>
    <t>ООО "ЦКМС"</t>
  </si>
  <si>
    <t>АО "ХРТЗ"</t>
  </si>
  <si>
    <t>АО "УППО"</t>
  </si>
  <si>
    <t>ВИТЮГИН ОЛЕГ МИХАЙЛОВИЧ</t>
  </si>
  <si>
    <t>АО "ПРОМЖД-ГАРАНТ"</t>
  </si>
  <si>
    <t>ООО "БАШСТРОЙ"</t>
  </si>
  <si>
    <t>ООО "БТГС"</t>
  </si>
  <si>
    <t>ООО "МААМ"</t>
  </si>
  <si>
    <t>ООО "ТД АРМА-ТРЕЙД"</t>
  </si>
  <si>
    <t>ООО "ЦЕНТР 24/7"</t>
  </si>
  <si>
    <t>ООО "ЦЕНТР КОМПЕТЕНЦИИ"</t>
  </si>
  <si>
    <t>ООО "ИСРЗ"</t>
  </si>
  <si>
    <t>ООО "КВАДРОТРЕЙД"</t>
  </si>
  <si>
    <t>АО "ХАБАРОВСКИЕ АВИАЛИНИИ"</t>
  </si>
  <si>
    <t>ООО "БАШРЕЗИНА"</t>
  </si>
  <si>
    <t>ООО "ЗЗБ"</t>
  </si>
  <si>
    <t>ЧУДПО УНЦ "ГЕОФИЗИКА"</t>
  </si>
  <si>
    <t>ЖУРАВЛЕВ АЛЕКСАНДР СЕРГЕЕВИЧ</t>
  </si>
  <si>
    <t>ООО "РИВЬЕРА ДВ"</t>
  </si>
  <si>
    <t>ООО "ЛКЦ "ЛОР-КЛИНИКА"</t>
  </si>
  <si>
    <t>Чукотский АО</t>
  </si>
  <si>
    <t>ООО "МЕГАСТРОЙ"</t>
  </si>
  <si>
    <t>Общий итог</t>
  </si>
  <si>
    <t>Приморский край</t>
  </si>
  <si>
    <t>ООО "АЮСС-ВСТК"</t>
  </si>
  <si>
    <t>ООО ТК "КРИПТ"</t>
  </si>
  <si>
    <t>КУЧЕРАВЕНКО ВЯЧЕСЛАВ МИХАЙЛОВИЧ</t>
  </si>
  <si>
    <t>ООО "ПРОФИ ЛОГ"</t>
  </si>
  <si>
    <t>ООО "КОМПАНИЯ КОМПЛЕКТОЛ"</t>
  </si>
  <si>
    <t>Камтэкс-Полиэфиры</t>
  </si>
  <si>
    <t>ООО "АВТОПЛАСТ"</t>
  </si>
  <si>
    <t>ООО "АНТИКОР ДВ"</t>
  </si>
  <si>
    <t>БУРКЕЦОВ ИГОРЬ ВЛАДИМИРОВИЧ</t>
  </si>
  <si>
    <t>ООО " ПИРАМИДА-ДВ"</t>
  </si>
  <si>
    <t>ИОФФЕ ЕВГЕНИЙ ИОСИФОВИЧ</t>
  </si>
  <si>
    <t>ГАЛДЕНКОВ ЕВГЕНИЙ ПАВЛОВИЧ</t>
  </si>
  <si>
    <t>ООО "ПРОГРЕСС-СТРОЙ"</t>
  </si>
  <si>
    <t>Иоффе</t>
  </si>
  <si>
    <t>МИХАЙЛОВ АЛЕКСАНДР СЕРГЕЕВИЧ</t>
  </si>
  <si>
    <t>СОКОЛОВ ДЕНИС ПЕТРОВИЧ</t>
  </si>
  <si>
    <t>ООО "СТРОЙРЕСУРС"</t>
  </si>
  <si>
    <t>Аттика Логистика</t>
  </si>
  <si>
    <t>ООО "БАСТИОН"</t>
  </si>
  <si>
    <t>ООО "УЗДТ"</t>
  </si>
  <si>
    <t>ООО "ИДЕАЛ"</t>
  </si>
  <si>
    <t>ООО "ГРАДИЕНТ"</t>
  </si>
  <si>
    <t>ООО "ЛАК ДВ"</t>
  </si>
  <si>
    <t>ООО "ЮНИОН"</t>
  </si>
  <si>
    <t>ООО "ВЕКСТРОЙ"</t>
  </si>
  <si>
    <t>ВОРОБЬЁВА ЕЛЕНА СЕРГЕЕВНА</t>
  </si>
  <si>
    <t>ООО "ВГТ ПРИМОРЬЕ"</t>
  </si>
  <si>
    <t>Пермские Полиэфиры</t>
  </si>
  <si>
    <t>СМИРНОВ ДМИТРИЙ ВАЛЕРЬЕВИЧ</t>
  </si>
  <si>
    <t>ООО "СЕРВИС-СТРОЙ"</t>
  </si>
  <si>
    <t>КОНЫШЕВА СВЕТЛАНА ДМИТРИЕВНА</t>
  </si>
  <si>
    <t>ООО "ПОМОЩНИК"</t>
  </si>
  <si>
    <t>Гранд Пак</t>
  </si>
  <si>
    <t>ООО "ПОМОЩНИК ДВ"</t>
  </si>
  <si>
    <t>ООО "ПЕРУПАКОМ"</t>
  </si>
  <si>
    <t>БОНДА ИРИНА ГЕННАДЬЕВНА</t>
  </si>
  <si>
    <t>ООО "КОМПАНИЯ "КОВЧЕГ-ПРИМОРЬЕ"</t>
  </si>
  <si>
    <t>ООО "КОМПАНИЯ ИЗОЛЮКС"</t>
  </si>
  <si>
    <t>ООО "ИНФОСТРОЙ"</t>
  </si>
  <si>
    <t>ООО "ШКАПОВСКОЕ ГПП"</t>
  </si>
  <si>
    <t>Экобалт</t>
  </si>
  <si>
    <t>ООО "ИДЕЯ"</t>
  </si>
  <si>
    <t>КАРАКУЛОВА МАРИЯ ВАЛЕРЬЕВНА</t>
  </si>
  <si>
    <t>АЛЕКСЕЕВА ЛИНА АЛЕКСЕЕВНА</t>
  </si>
  <si>
    <t>Грантек</t>
  </si>
  <si>
    <t>ООО "АЛЬЯНСТОРГ"</t>
  </si>
  <si>
    <t>ООО "ВОСТОКХИМСЕРВИС"</t>
  </si>
  <si>
    <t>ООО "МЕГАТРЕЙД"</t>
  </si>
  <si>
    <t>ЛЫСЕНКО ДМИТРИЙ СЕРГЕЕВИЧ</t>
  </si>
  <si>
    <t>ООО "ЛИДЕРГРУПП"</t>
  </si>
  <si>
    <t>Названия строк</t>
  </si>
  <si>
    <t>Сумма по полю Выручка рынок</t>
  </si>
  <si>
    <t>Доля рынка</t>
  </si>
  <si>
    <t>Объем</t>
  </si>
  <si>
    <t>Дистрибьютор</t>
  </si>
  <si>
    <t>ИТОГО</t>
  </si>
  <si>
    <t>Доля произв. в дистр.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</si>
</sst>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_-* #,##0\ _₽_-;\-* #,##0\ _₽_-;_-* &quot;-&quot;??\ _₽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5">
    <xf numFmtId="0" fontId="0" fillId="0" borderId="0" xfId="0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4" fontId="0" fillId="0" borderId="0" xfId="1" applyNumberFormat="1" applyFont="1"/>
    <xf numFmtId="0" fontId="4" fillId="0" borderId="0" xfId="0" applyFont="1" applyAlignment="1">
      <alignment horizontal="left" indent="1"/>
    </xf>
    <xf numFmtId="164" fontId="0" fillId="0" borderId="0" xfId="0" applyNumberFormat="1"/>
    <xf numFmtId="0" fontId="0" fillId="2" borderId="0" xfId="0" applyFill="1" applyAlignment="1">
      <alignment horizontal="left"/>
    </xf>
    <xf numFmtId="164" fontId="0" fillId="2" borderId="0" xfId="0" applyNumberFormat="1" applyFill="1"/>
    <xf numFmtId="0" fontId="0" fillId="0" borderId="4" xfId="0" applyBorder="1"/>
    <xf numFmtId="0" fontId="0" fillId="0" borderId="0" xfId="0" applyBorder="1"/>
    <xf numFmtId="0" fontId="0" fillId="0" borderId="6" xfId="0" applyBorder="1"/>
    <xf numFmtId="0" fontId="0" fillId="0" borderId="0" xfId="0" applyFill="1" applyBorder="1" applyAlignment="1">
      <alignment horizontal="center" vertical="center" wrapText="1"/>
    </xf>
    <xf numFmtId="0" fontId="0" fillId="0" borderId="4" xfId="0" applyBorder="1" applyAlignment="1">
      <alignment horizontal="left" indent="2"/>
    </xf>
    <xf numFmtId="164" fontId="0" fillId="0" borderId="7" xfId="0" applyNumberFormat="1" applyBorder="1"/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164" fontId="0" fillId="0" borderId="0" xfId="0" applyNumberFormat="1" applyBorder="1"/>
    <xf numFmtId="0" fontId="0" fillId="3" borderId="4" xfId="0" applyFill="1" applyBorder="1" applyAlignment="1">
      <alignment horizontal="left" indent="2"/>
    </xf>
    <xf numFmtId="0" fontId="0" fillId="3" borderId="0" xfId="0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indent="1"/>
    </xf>
    <xf numFmtId="164" fontId="1" fillId="0" borderId="0" xfId="0" applyNumberFormat="1" applyFont="1" applyBorder="1"/>
    <xf numFmtId="164" fontId="0" fillId="3" borderId="0" xfId="0" applyNumberFormat="1" applyFill="1" applyBorder="1" applyAlignment="1">
      <alignment horizontal="center" vertical="center" wrapText="1"/>
    </xf>
    <xf numFmtId="0" fontId="0" fillId="0" borderId="4" xfId="0" applyFill="1" applyBorder="1"/>
    <xf numFmtId="0" fontId="1" fillId="0" borderId="0" xfId="0" applyFont="1" applyFill="1" applyBorder="1" applyAlignment="1">
      <alignment horizontal="left" indent="1"/>
    </xf>
    <xf numFmtId="164" fontId="1" fillId="0" borderId="0" xfId="0" applyNumberFormat="1" applyFont="1" applyFill="1" applyBorder="1"/>
    <xf numFmtId="164" fontId="0" fillId="0" borderId="0" xfId="1" applyNumberFormat="1" applyFont="1" applyFill="1" applyBorder="1"/>
    <xf numFmtId="164" fontId="0" fillId="0" borderId="0" xfId="0" applyNumberFormat="1" applyFill="1" applyBorder="1" applyAlignment="1">
      <alignment horizontal="center" vertical="center" wrapText="1"/>
    </xf>
    <xf numFmtId="0" fontId="0" fillId="0" borderId="6" xfId="0" applyFill="1" applyBorder="1"/>
    <xf numFmtId="164" fontId="3" fillId="0" borderId="7" xfId="0" applyNumberFormat="1" applyFont="1" applyFill="1" applyBorder="1"/>
    <xf numFmtId="164" fontId="0" fillId="0" borderId="0" xfId="0" applyNumberFormat="1" applyFill="1" applyBorder="1"/>
    <xf numFmtId="0" fontId="0" fillId="0" borderId="0" xfId="0" applyFill="1" applyBorder="1"/>
    <xf numFmtId="9" fontId="0" fillId="0" borderId="0" xfId="2" applyFont="1" applyFill="1" applyBorder="1"/>
    <xf numFmtId="0" fontId="0" fillId="0" borderId="0" xfId="0" applyFill="1" applyBorder="1" applyAlignment="1">
      <alignment horizontal="left" indent="2"/>
    </xf>
    <xf numFmtId="0" fontId="3" fillId="0" borderId="0" xfId="0" applyFont="1" applyFill="1" applyBorder="1" applyAlignment="1">
      <alignment horizontal="right"/>
    </xf>
    <xf numFmtId="164" fontId="3" fillId="0" borderId="0" xfId="0" applyNumberFormat="1" applyFont="1" applyFill="1" applyBorder="1"/>
    <xf numFmtId="9" fontId="3" fillId="0" borderId="0" xfId="0" applyNumberFormat="1" applyFont="1" applyFill="1" applyBorder="1"/>
    <xf numFmtId="164" fontId="3" fillId="0" borderId="0" xfId="1" applyNumberFormat="1" applyFont="1" applyFill="1" applyBorder="1"/>
    <xf numFmtId="0" fontId="0" fillId="0" borderId="4" xfId="0" applyFill="1" applyBorder="1" applyAlignment="1">
      <alignment horizontal="center" vertical="center" wrapText="1"/>
    </xf>
    <xf numFmtId="9" fontId="0" fillId="0" borderId="5" xfId="2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right" indent="1"/>
    </xf>
    <xf numFmtId="0" fontId="3" fillId="0" borderId="6" xfId="0" applyFont="1" applyFill="1" applyBorder="1" applyAlignment="1">
      <alignment horizontal="right" indent="1"/>
    </xf>
    <xf numFmtId="0" fontId="0" fillId="3" borderId="5" xfId="0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indent="1"/>
    </xf>
    <xf numFmtId="0" fontId="4" fillId="0" borderId="7" xfId="0" applyFont="1" applyBorder="1" applyAlignment="1">
      <alignment horizontal="left" indent="1"/>
    </xf>
    <xf numFmtId="164" fontId="0" fillId="0" borderId="0" xfId="1" applyNumberFormat="1" applyFont="1" applyFill="1" applyBorder="1" applyAlignment="1">
      <alignment horizontal="center" vertical="center" wrapText="1"/>
    </xf>
    <xf numFmtId="9" fontId="3" fillId="0" borderId="8" xfId="2" applyFont="1" applyFill="1" applyBorder="1"/>
    <xf numFmtId="0" fontId="0" fillId="0" borderId="1" xfId="0" applyBorder="1" applyAlignment="1">
      <alignment horizontal="left" indent="2"/>
    </xf>
    <xf numFmtId="164" fontId="0" fillId="0" borderId="2" xfId="1" applyNumberFormat="1" applyFont="1" applyFill="1" applyBorder="1" applyAlignment="1">
      <alignment horizontal="center" vertical="center" wrapText="1"/>
    </xf>
    <xf numFmtId="9" fontId="0" fillId="0" borderId="3" xfId="2" applyFont="1" applyFill="1" applyBorder="1" applyAlignment="1">
      <alignment horizontal="center" vertical="center" wrapText="1"/>
    </xf>
    <xf numFmtId="9" fontId="0" fillId="0" borderId="5" xfId="2" applyFont="1" applyFill="1" applyBorder="1" applyAlignment="1">
      <alignment horizontal="center"/>
    </xf>
    <xf numFmtId="9" fontId="0" fillId="0" borderId="8" xfId="2" applyFont="1" applyFill="1" applyBorder="1" applyAlignment="1">
      <alignment horizontal="center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1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numFmt numFmtId="164" formatCode="_-* #,##0\ _₽_-;\-* #,##0\ _₽_-;_-* &quot;-&quot;??\ _₽_-;_-@_-"/>
    </dxf>
    <dxf>
      <numFmt numFmtId="164" formatCode="_-* #,##0\ _₽_-;\-* #,##0\ _₽_-;_-* &quot;-&quot;??\ _₽_-;_-@_-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4;&#1060;&#1054;%20+%20&#1042;%20&#1057;&#1080;&#1073;%20&#1055;&#1088;&#1080;&#1084;&#1086;&#1088;&#1089;&#1082;&#1080;&#1081;%20&#1082;&#1088;&#1072;&#1081;%20ver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за"/>
      <sheetName val="ДФО + В Сиб"/>
      <sheetName val="Приморский край"/>
    </sheetNames>
    <sheetDataSet>
      <sheetData sheetId="0" refreshError="1"/>
      <sheetData sheetId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Белокопытов Андрей Николаевич" refreshedDate="46233.436991087961" createdVersion="6" refreshedVersion="4" minRefreshableVersion="3" recordCount="650">
  <cacheSource type="worksheet">
    <worksheetSource name="Таблица_Краски_xlsx"/>
  </cacheSource>
  <cacheFields count="7">
    <cacheField name="География" numFmtId="0">
      <sharedItems/>
    </cacheField>
    <cacheField name="География (объединение)" numFmtId="0">
      <sharedItems count="14">
        <s v="Иные террит. включая Байконур"/>
        <s v="Красноярский край"/>
        <s v="Амурская область"/>
        <s v="Еврейская автономная область"/>
        <s v="Забайкальский край"/>
        <s v="Иркутская область"/>
        <s v="Камчатский край"/>
        <s v="Магаданская область"/>
        <s v="Республика Саха"/>
        <s v="Республика Хакасия"/>
        <s v="Сахалинская область"/>
        <s v="Хабаровский край"/>
        <s v="Чукотский АО"/>
        <s v="Приморский край"/>
      </sharedItems>
    </cacheField>
    <cacheField name="Производитель" numFmtId="0">
      <sharedItems count="34">
        <s v="Дугалак"/>
        <s v="Русские краски"/>
        <s v="Кушнаренко Сергей Александрович"/>
        <s v="Сайвер"/>
        <s v="Рогнеда"/>
        <s v="Лакра"/>
        <s v="АВС Фарбен"/>
        <s v="Тиккурилла"/>
        <s v="Ярославские краски"/>
        <s v="ВИТ"/>
        <s v="ЭСКАРО"/>
        <s v="Мефферт"/>
        <s v="Континенталь"/>
        <s v="Новбытхим"/>
        <s v="Декарт"/>
        <s v="Новый Дом"/>
        <s v="ТД Радуга"/>
        <s v="ПолиР"/>
        <s v="Эмпилс"/>
        <s v="Радуга Синтез"/>
        <s v="Краски Квил"/>
        <s v="Краски Белогорья"/>
        <s v="Краски оптом"/>
        <s v="Экспертэкология"/>
        <s v="Линия красок"/>
        <s v="Оксоль"/>
        <s v="Белрегионцентр"/>
        <s v="Новоколор"/>
        <s v="Камтэкс-Полиэфиры"/>
        <s v="Аттика Логистика"/>
        <s v="Пермские Полиэфиры"/>
        <s v="Гранд Пак"/>
        <s v="Экобалт"/>
        <s v="Грантек"/>
      </sharedItems>
    </cacheField>
    <cacheField name="Контрагент" numFmtId="0">
      <sharedItems count="517">
        <s v="ЯКОВЛЕВА АННА СЕРГЕЕВНА"/>
        <s v="ТАГИРОВ МАРС ФАГУМУТДИНОВИЧ"/>
        <s v="ООО &quot;ВИГ&quot;"/>
        <s v="СИЗКОВ ВИКТОР ИВАНОВИЧ"/>
        <s v="Амурснабсбыт"/>
        <s v="Левин"/>
        <s v="Бараков"/>
        <s v="КОЛЫБИХИНА ТАТЬЯНА БОРИСОВНА"/>
        <s v="СИНЕЛЬНИКОВА СВЕТЛАНА АЛЕКСАНДРОВНА"/>
        <s v="ОАО &quot;УПТК  &quot;АМУРСТРОЙ&quot;"/>
        <s v="САМАРЕЦ ЮРИЙ ПАВЛОВИЧ"/>
        <s v="ЛАВРЕНОВ АЛЕКСАНДР ВЛАДИМИРОВИЧ"/>
        <s v="ООО &quot;ДПР&quot;"/>
        <s v="ООО &quot;МАСТЕРА ПЛЮС&quot;"/>
        <s v="МАКАРЕНКО АНДРЕЙ ИВАНОВИЧ"/>
        <s v="ООО &quot;ГИНТАМА&quot;"/>
        <s v="ООО &quot;АЛЬФА-СТРОЙ&quot;"/>
        <s v="ООО &quot;ТЕПЛИЧНЫЙ&quot;"/>
        <s v="ДУДНИК ИРИНА ВЛАДИМИРОВНА"/>
        <s v="КОНДРАТЬЕВА АНАСТАСИЯ ГЕННАДЬЕВНА"/>
        <s v="КОВАЛЬСКАЯ НАТАЛЬЯ ГЕННАДЬЕВНА"/>
        <s v="БЕЛИМОВ АНДРЕЙ АЛЕКСЕЕВИЧ"/>
        <s v="ООО &quot;БАРИС&quot;"/>
        <s v="ООО &quot;КАПИТАЛСТРОЙ&quot;"/>
        <s v="САВОСЬКО БОРИС НИКОЛАЕВИЧ"/>
        <s v="ООО &quot;СТРОЙБУМ&quot;"/>
        <s v="ООО &quot;РЕСПЕКТ ЛТД&quot;"/>
        <s v="ООО &quot;СНАБ&quot;"/>
        <s v="ООО &quot;ЭД СКАР ОПТИК&quot;"/>
        <s v="САЛТАНОВ НИКОЛАЙ МИХАЙЛОВИЧ"/>
        <s v="ООО &quot;МП ТАШИР&quot;"/>
        <s v="СИМАКОВА СВЕТЛАНА ВЛАДИМИРОВНА"/>
        <s v="ООО &quot;МИРИАД&quot;"/>
        <s v="ПЕРМЯКОВ СЕРГЕЙ МИХАЙЛОВИЧ"/>
        <s v="НАЙМУШИНА ЕЛЕНА ВЛАДИМИРОВНА"/>
        <s v="УВАРОВСКИЙ АНДРЕЙ ВЛАДИМИРОВИЧ"/>
        <s v="КАРПОВ АЛЕКСАНДР КОНСТАНТИНОВИЧ"/>
        <s v="РЯБКОВА СВЕТЛАНА СЕРГЕЕВНА"/>
        <s v="РЯДИНСКИЙ ЕВГЕНИЙ АЛЕКСАНДРОВИЧ"/>
        <s v="ШАДРИН СЕРГЕЙ СЕРГЕЕВИЧ"/>
        <s v="ПИВОВАРОВ ДМИТРИЙ ВАСИЛЬЕВИЧ"/>
        <s v="ООО &quot;ТИТАНСТРОЙ&quot;"/>
        <s v="ООО &quot;ВЕЛЕС&quot;"/>
        <s v="ООО &quot;ЗАБРИТЕЙЛ&quot;"/>
        <s v="КИСТЕНЕВА НАТАЛЬЯ АНАТОЛЬЕВНА"/>
        <s v="Спицына"/>
        <s v="Читаглавснаб"/>
        <s v="ТРОШИНА ЛАРИСА ВАСИЛЬЕВНА"/>
        <s v="КУТСАР ИГОРЬ ГЕОРГИЕВИЧ"/>
        <s v="МУСАЕВА ТАТЬЯНА АЛЕКСАНДРОВНА"/>
        <s v="ДАНЬШОВ АЛЕКСЕЙ ВИТАЛЬЕВИЧ"/>
        <s v="ООО &quot;СОЛИД&quot;"/>
        <s v="КОВАЛЕВСКАЯ НАТАЛЬЯ ВИКТОРОВНА"/>
        <s v="ООО &quot;ШЕВРОН&quot;"/>
        <s v="ООО &quot;ЭГИДА&quot;"/>
        <s v="ООО &quot;АЛЬЯНС&quot;"/>
        <s v="ХРАПАЙ ЛИДИЯ АЛЕКСАНДРОВНА"/>
        <s v="САЗОНОВ СЕРГЕЙ АНАТОЛЬЕВИЧ"/>
        <s v="ООО &quot;АНГАРАСТРОЙКЕРАМИКА&quot;"/>
        <s v="ООО  &quot;АВЕНИР&quot;"/>
        <s v="АО &quot;ПРОФСТАЛЬ&quot;"/>
        <s v="ДАШКЕВИЧ АЛЕНА АНАТОЛЬЕВНА"/>
        <s v="ООО &quot;ИЛОТ&quot;"/>
        <s v="ООО &quot;ТСК &quot;ТОН-М&quot;"/>
        <s v="ООО &quot;МОНОЛИТ&quot;"/>
        <s v="СВИРИДЕНКО ИГОРЬ МИХАЙЛОВИЧ"/>
        <s v="ООО &quot;ТРАВЕРС&quot;"/>
        <s v="ООО &quot;ВОСТОКГРУПСТРОЙ&quot;"/>
        <s v="ООО &quot;ТД БАЙКАЛЬСКИЙ СНАБЖЕНЕЦ&quot;"/>
        <s v="ООО &quot;ПОЛЯРНИК&quot;"/>
        <s v="ООО &quot;ГРАНИТ&quot;"/>
        <s v="ПОДСКРЕБЫШЕВ АНДРЕЙ ИВАНОВИЧ"/>
        <s v="МАЛЮГИНА АННА ВЛАДИМИРОВНА"/>
        <s v="ООО &quot;ПРОК-БАЙКАЛ&quot;"/>
        <s v="КЛИМЕНКОВ КОНСТАНТИН ОЛЕГОВИЧ"/>
        <s v="ООО &quot;ГАРАНТСТРОЙ&quot;"/>
        <s v="ООО &quot;БАУМАРКЕТ&quot;"/>
        <s v="ООО &quot;АКТОР&quot;"/>
        <s v="ООО &quot;МАРС&quot;"/>
        <s v="ДРОНЬ ИГОРЬ ПАВЛОВИЧ"/>
        <s v="ООО &quot;СИБХОЗТОРГ&quot;"/>
        <s v="ПЕРМЯКОВ ЮРИЙ СЕРГЕЕВИЧ"/>
        <s v="ГРИГОРЬЕВА ЛЮБОВЬ ВАЛЕРЬЕВНА"/>
        <s v="ВИНОГРАДОВА ИРИНА АНАТОЛЬЕВНА"/>
        <s v="ООО &quot;СТРОЙГРАД&quot;"/>
        <s v="ООО &quot;ДОМОВОЙ&quot;"/>
        <s v="ЦЕРЕНКОВ ЕВГЕНИЙ ЛЕОНИДОВИЧ"/>
        <s v="ИВАНОВА КСЕНИЯ АНАТОЛЬЕВНА"/>
        <s v="ООО &quot;ЦЕНТР УПАКОВКИ ИРКУТСК &quot;"/>
        <s v="ООО ТД &quot;БАЗИС&quot;"/>
        <s v="ООО &quot;ЦКИ&quot;"/>
        <s v="ООО &quot;ЛИДЕР&quot;"/>
        <s v="ООО &quot;ЕВРОМАРКЕТ&quot;"/>
        <s v="ВАСИЛЬЕВ СЕРГЕЙ ВЛАДИМИРОВИЧ"/>
        <s v="ДОРОФЕЕВ АРТЁМ АЛЕКСЕЕВИЧ"/>
        <s v="ООО &quot;СТРОЙИРКУТСК&quot;"/>
        <s v="ЗАЛУЦКАЯ АННА АЛЕКСАНДРОВНА"/>
        <s v="ФЕДОРОВА ЕЛЕНА ЛЕОНИДОВНА"/>
        <s v="ООО &quot;ТД&quot;"/>
        <s v="ЖУРКИНА ЕКАТЕРИНА ЛЕОНИДОВНА"/>
        <s v="ООО &quot;СТРОЙМИР&quot;"/>
        <s v="БАРАНОВА ВЕРА ВИКТОРОВНА"/>
        <s v="РЫЛЬКОВ ДЕНИС ВАЛЕРИЕВИЧ"/>
        <s v="ВИНОГРАДОВА ТАТЬЯНА ГЕННАДЬЕВНА"/>
        <s v="МАУ ШР &quot;ОЗДОРОВИТЕЛЬНЫЙ ЦЕНТР&quot;"/>
        <s v="ООО &quot;ВОСТОК&quot;"/>
        <s v="КАЛМЫКОВА ЛЮБОВЬ ВЛАДИМИРОВНА"/>
        <s v="МАКАРОВА ОЛЬГА ГРИГОРЬЕВНА"/>
        <s v="МАКАРОВ ОЛЕГ ИВАНОВИЧ"/>
        <s v="ООО &quot;ИДСК&quot;"/>
        <s v="СТАРОВЕРОВА НАТАЛЬЯ ПАВЛОВНА"/>
        <s v="ВЛАСОВА ЕЛЕНА НИКОЛАЕВНА"/>
        <s v="БИШАЕВ АРТЕМ ВИКТОРОВИЧ"/>
        <s v="ООО &quot;УПТК&quot;"/>
        <s v="БЕРДНИКОВ ВАСИЛИЙ ИВАНОВИЧ"/>
        <s v="ЕГОРОВА КСЕНИЯ СЕРГЕЕВНА"/>
        <s v="ООО &quot;СТРОИТЕЛЬНАЯ КОМПАНИЯ &quot;ДОМОЙ&quot;"/>
        <s v="ШЕМЕТОВ ЭДУАРД КОНСТАНТИНОВИЧ"/>
        <s v="ЗУБОВА ЮЛИЯ АЛЕКСАНДРОВНА"/>
        <s v="ООО &quot;ПК &quot;РЕАЛСТРОЙ&quot;"/>
        <s v="ООО &quot;СНАБЖЕНИЕ&quot;"/>
        <s v="ООО &quot;РОСТ&quot;"/>
        <s v="КУЗЬМИН ЮРИЙ НИКОЛАЕВИЧ"/>
        <s v="ПРОНЬКИН ВИТАЛИЙ ВИКТОРОВИЧ"/>
        <s v="ООО &quot;СИСТЕМА ЭТАЛОН&quot;"/>
        <s v="ДУШКО МИХАИЛ ВАСИЛЬЕВИЧ"/>
        <s v="КРЮКОВА АНГЕЛИНА АЛЕКСЕЕВНА"/>
        <s v="ООО &quot;А СТИЛЬ&quot;"/>
        <s v="КИЧИНБАЕВА ГУЛЬЧЕРАЙ ШИРАЛИЕВНА"/>
        <s v="ООО СК &quot;ВОСТСИБСТРОЙ&quot;"/>
        <s v="ОКЛАДНИКОВА ОКСАНА ВИКТОРОВНА"/>
        <s v="ВОСТРИКОВА ЛЮДМИЛА ИЛЬИНИЧНА"/>
        <s v="ООО &quot;СИБСТАЛЬСТРОЙ&quot;"/>
        <s v="ООО &quot;РЕМОНТНЫЙ ЗАВОД&quot;"/>
        <s v="ГИГИН ИГОРЬ АЛЕКСАНДРОВИЧ"/>
        <s v="ООО &quot;СТРОЙСНАБ&quot;"/>
        <s v="ООО &quot;СИНКО&quot;"/>
        <s v="КУЗНЕЦОВА ЕЛЕНА ЛЬВОВНА"/>
        <s v="ТОРБИН ВЯЧЕСЛАВ СЕРГЕЕВИЧ"/>
        <s v="ЗЫКОВ ДМИТРИЙ АНАТОЛЬЕВИЧ"/>
        <s v="ООО &quot;АЙХАЛ&quot;"/>
        <s v="ООО &quot;АЛЬФАВЕНТ&quot;"/>
        <s v="ООО ТД &quot;ПАРТНЕР&quot;"/>
        <s v="ООО &quot;ТК СИБЭНЕРГО&quot;"/>
        <s v="ШЕРСТЯННИКОВА ЛЮБОВЬ ВАЛЕРИЕВНА"/>
        <s v="(Пусто)"/>
        <s v="ООО &quot;АНТОРГ&quot;"/>
        <s v="КАРГИНА ТАТЬЯНА ИВАНОВНА"/>
        <s v="ООО &quot;ИСК&quot;"/>
        <s v="ПЕТРОВА ВЕРА АЛЕКСАНДРОВНА"/>
        <s v="ООО &quot;МАРТ&quot;"/>
        <s v="ООО &quot;ИРКУТСКИЕ КОНВЕЙЕРНЫЕ СИСТЕМЫ&quot;"/>
        <s v="ООО &quot;ЗВЕЗДА&quot;"/>
        <s v="ООО &quot;СИБЛАБСЕРВИС&quot;"/>
        <s v="ООО &quot;МАРМОЛ&quot;"/>
        <s v="УХАНОВА НАТАЛЬЯ АЛЕКСАНДРОВНА"/>
        <s v="ООО &quot;БУДУАР&quot;"/>
        <s v="ПОПОВА МАРИНА СЕРГЕЕВНА"/>
        <s v="ООО &quot;УСПЕХ ИНВЕСТ&quot;"/>
        <s v="ООО &quot;ТЕХНОСЕРВ ИРКУТСК&quot;"/>
        <s v="ООО &quot;БОГАТЫРЬ&quot;"/>
        <s v="ИСОЯН МАРИНЕ РУБИКОВНА"/>
        <s v="ООО ПК &quot;КЕДР&quot;"/>
        <s v="КРУПКО ЕЛЕНА АЛЕКСАНДРОВНА"/>
        <s v="ООО &quot;УК ИЖС&quot;"/>
        <s v="ТИРСКИХ НАТАЛЬЯ ВАСИЛЬЕВНА"/>
        <s v="ООО &quot;АСК&quot;"/>
        <s v="ООО &quot;ТЕХТАУН&quot;"/>
        <s v="ООО &quot;ДАИЧИ-БАЙКАЛ&quot;"/>
        <s v="ООО &quot;ПРОЦЕСССТРОЙ&quot;"/>
        <s v="ООО &quot;СОЛДИ&quot;"/>
        <s v="ЗУБОВА ЕЛЕНА АЛЕКСАНДРОВНА"/>
        <s v="ООО &quot;КРАФТ ТРЕЙД&quot;"/>
        <s v="ПОРОСНЫХ АЛЕКСЕЙ ОЛЕГОВИЧ"/>
        <s v="СУХИХ АНАТОЛИЙ ВЛАДИМИРОВИЧ"/>
        <s v="КУПРИЯНОВ ЕВГЕНИЙ АНДРЕЕВИЧ"/>
        <s v="ООО &quot;ТЕХНОЛОГИИ ГАЗОСНАБЖЕНИЯ&quot;"/>
        <s v="ООО &quot;ДЖИНАТЭК&quot;"/>
        <s v="ООО &quot;БЦ&quot;ЛАДОГА&quot;"/>
        <s v="ООО &quot;БТГ&quot;"/>
        <s v="ООО &quot;ТД &quot;МАЯК&quot;"/>
        <s v="ООО &quot;УПС&quot;"/>
        <s v="УХОВ АНДРЕЙ ВАСИЛЬЕВИЧ"/>
        <s v="ВЕРХОЗИН АЛЕКСЕЙ АЛЕКСАНДРОВИЧ"/>
        <s v="ООО &quot;УЮТНЫЙ ДОМ&quot;"/>
        <s v="ВОРОБЬЁВА ЕЛЕНА ВАЛЕРЬЕВНА"/>
        <s v="Уютный дом"/>
        <s v="ООО &quot;ТД ПАЛИТРА&quot;"/>
        <s v="ООО &quot;ХИМЛАК&quot;"/>
        <s v="ООО ГРУППА КОМПАНИЙ &quot;СТРОЙ ЦЕНТР&quot;"/>
        <s v="ООО &quot;ИРХИМ&quot;"/>
        <s v="ООО &quot;ИРКУТСКИЙ ЭТЗ&quot;"/>
        <s v="КОНСТАНТИНОВ ФЁДОР ВАЛЕРЬЕВИЧ"/>
        <s v="МОРОШАН АЛЕКСЕЙ АНАТОЛЬЕВИЧ"/>
        <s v="ООО &quot;БЭМЗ&quot;"/>
        <s v="ООО &quot;ФАБРИКА УПАКОВКИ&quot;"/>
        <s v="ООО &quot;КРАСЛЭНД&quot;"/>
        <s v="ООО &quot;СО-ЕДИНЕНИЕ&quot;"/>
        <s v="ООО &quot;КАПИТЕЛЬ ИРКУТСК&quot;"/>
        <s v="ООО &quot;КТК&quot;"/>
        <s v="АО &quot;ЭНЕРПРЕД&quot;"/>
        <s v="КУДИНОВ КОНСТАНТИН МИХАЙЛОВИЧ"/>
        <s v="ООО &quot;БАЙКАЛ АЛКО&quot;"/>
        <s v="ООО &quot;ФАВОРИТ&quot;"/>
        <s v="ООО &quot;БАЙКАЛЬСКИЕ КРАСКИ&quot;"/>
        <s v="КУЧЕРЮК АРКАДИЙ ЮРЬЕВИЧ"/>
        <s v="ООО &quot;ОПТИМА&quot;"/>
        <s v="ООО &quot;СТО&quot;"/>
        <s v="ООО &quot;ИЗТМ-ИНЖИНИРИНГ&quot;"/>
        <s v="МИХАЙЛОВА МАРИЯ АЛЕКСАНДРОВНА"/>
        <s v="ООО &quot;ФАСАД КОЛОР БАЙКАЛ&quot;"/>
        <s v="ПОТАПОВА ЕЛЕНА ВАЛЕРЬЕВНА"/>
        <s v="ООО &quot;КНАУФ ГИПС БАЙКАЛ&quot;"/>
        <s v="ООО &quot;ХИМСЕРВИС&quot;"/>
        <s v="ООО &quot;ИЗГТ&quot;"/>
        <s v="ДАНИЛЕНКО АНДРЕЙ ВАСИЛЬЕВИЧ"/>
        <s v="БУСЫГИН РОМАН АНДРЕЕВИЧ"/>
        <s v="ИВЖЕНКОВА ЕЛЕНА ЮРЬЕВНА"/>
        <s v="КУПРИНА ТАТЬЯНА ВИКТОРОВНА"/>
        <s v="ООО 220 В&quot;"/>
        <s v="ООО &quot;ИРМАШ&quot;"/>
        <s v="ООО &quot;ПЕРСПЕКТИВА-ЛКМ&quot;"/>
        <s v="ООО  &quot;ТЕХНОСИСТЕМА&quot;"/>
        <s v="ООО &quot;ТОРГОВАЯ КОМПАНИЯ &quot;ГАНАЛЫ&quot;"/>
        <s v="ДЕРЮГИНА ТАТЬЯНА НИКОЛАЕВНА"/>
        <s v="МАМЧЕНКОВ ДМИТРИЙ ОЛЕГОВИЧ"/>
        <s v="МЕЛЬНИКОВ АЛЕКСЕЙ НИКОЛАЕВИЧ"/>
        <s v="МОСКАЛЕВ ПЕТР ЕГОРОВИЧ"/>
        <s v="СЕХИН МИХАИЛ МИХАЙЛОВИЧ"/>
        <s v="Саленко"/>
        <s v="ЛАЗАРЕВ РОМАН ВЛАДИМИРОВИЧ"/>
        <s v="КИБАЛЮК СЕРГЕЙ ДМИТРИЕВИЧ"/>
        <s v="САВЕЛЬЕВА ВАЛЕРИЯ ЮРЬЕВНА"/>
        <s v="ООО &quot;ТД СПЕКТР&quot;"/>
        <s v="ООО&quot;БЛЕСКОМФОРТ&quot;"/>
        <s v="АО &quot;ОЗЕРНОВСКИЙ РКЗ № 55&quot;"/>
        <s v="ДЕРЕВЯГИН ДЕНИС ВИКТОРОВИЧ"/>
        <s v="АО &quot;АКРОС&quot;"/>
        <s v="СУЧКОВ АЛЕКСЕЙ НИКОЛАЕВИЧ"/>
        <s v="ООО &quot;ТЕХТОРГ&quot;"/>
        <s v="ООО &quot;ВИРАЖ&quot;"/>
        <s v="ООО &quot;ДЕДАЛ ПЛЮС&quot;"/>
        <s v="ООО &quot;ГРАНД-ТРЕЙД&quot;"/>
        <s v="ООО &quot;ГРУПП СИБ ХОЛДИНГ&quot;"/>
        <s v="ООО &quot;СПЕЦПОКРЫТИЕ&quot;"/>
        <s v="СИМОНОВА ЕЛЕНА ПАВЛОВНА"/>
        <s v="КОЖЕВНИКОВ ПАВЕЛ МИХАЙЛОВИЧ"/>
        <s v="ООО &quot;АКСИОМА&quot;"/>
        <s v="МИМА ЮРИЙ ВЛАДИМИРОВИЧ"/>
        <s v="ООО ЭПФ &quot;ПИЛОН&quot;"/>
        <s v="СЛЕПЧЕНКО ВЯЧЕСЛАВ ВИКТОРОВИЧ"/>
        <s v="ООО ПКФ &quot;ХОЗКОМПЛЕКТ&quot;"/>
        <s v="КРЯЖЕВ АЛЕКСЕЙ АНАТОЛЬЕВИЧ"/>
        <s v="ДУБОВЕНКО СЕРГЕЙ ЮРЬЕВИЧ"/>
        <s v="САМСОНОВА ЕКАТЕРИНА АЛЕКСАНДРОВНА"/>
        <s v="ШИПИЛИНА ЗИНАИДА МИТРОФАНОВНА"/>
        <s v="ЛИШУТИН АЛЕКСАНДР ВИКТОРОВИЧ"/>
        <s v="РЫБИН АНДРЕЙ ВЛАДИМИРОВИЧ"/>
        <s v="ООО &quot;ВИРАЖ ПЛЮС&quot;"/>
        <s v="ООО &quot;КЛК&quot;"/>
        <s v="Красхим"/>
        <s v="ГАРЕЕВА ЕКАТЕРИНА АЛЕКСАНДРОВНА"/>
        <s v="ЖАДАЕВА АЛИНА ПАВЛОВНА"/>
        <s v="ООО &quot; КРАСХИМРЕСУРС &quot;"/>
        <s v="ООО &quot;АЛКОТРЭЙД 66&quot;"/>
        <s v="ООО &quot;АЗИЯ ЛОГИСТИК&quot;"/>
        <s v="ООО &quot;ВИТАЛ 74&quot;"/>
        <s v="ГАЙДАР АЛЕКСАНДР АЛЕКСАНДРОВИЧ"/>
        <s v="ООО &quot;ЭЛХИМ&quot;"/>
        <s v="ООО &quot;ВИТАЛ&quot;"/>
        <s v="ДОРОГАНЁВ ВАСИЛИЙ АЛЕКСАНДРОВИЧ"/>
        <s v="ООО &quot;СПЕЦЭЛЕКТРОДСЕРВИС&quot;"/>
        <s v="МАРТЫНОВА ИРИНА ВАСИЛЬЕВНА"/>
        <s v="Электромир"/>
        <s v="ООО &quot;ЮГ ЛОГИСТИК&quot;"/>
        <s v="ООО &quot;ЮЖНЫЙ&quot;"/>
        <s v="ООО &quot;СТЦ&quot;"/>
        <s v="ООО ТД &quot;КОМПОЗИТ СИБИРЬ&quot;"/>
        <s v="ЗАО &quot;КРАСНОЯРСКАЯ ФИРМА БИРЮСИНКА&quot;, ЗАО &quot;КФ БИРЮСИНКА&quot;"/>
        <s v="ООО &quot;ОПТИМИСТ СИБИРЬ&quot;"/>
        <s v="ООО &quot;КОМПАНИЯ АВАНТИ&quot;"/>
        <s v="ООО &quot;АЭРОПОРТ ЕМЕЛЬЯНОВО&quot;"/>
        <s v="ООО &quot;ШТИЛЬ&quot;"/>
        <s v="ООО ДИАМАНТ&quot;"/>
        <s v="ООО &quot;СК&quot;"/>
        <s v="ООО &quot;АЛЬФА-ИНЖИНИРИНГ&quot;"/>
        <s v="ООО &quot;ФИТ&quot;"/>
        <s v="ООО &quot;УКС&quot;"/>
        <s v="ЦУКАНОВА ТАТЬЯНА ГЕННАДЬЕВНА"/>
        <s v="КАЛОЕВ ВЛАДИМИР ЮРЬЕВИЧ"/>
        <s v="ООО &quot;АЛМАЗ ИНЖИНИРИНГ&quot;"/>
        <s v="КАЗАРЕНКО АЛЕКСЕЙ АЛЕКСАНДРОВИЧ"/>
        <s v="ООО &quot;ПАРИТЕТ РБ&quot;"/>
        <s v="ООО &quot;РН-ВАНКОР&quot;"/>
        <s v="ДЖЕГЕТ АНДРЕЙ ВИТАЛЬЕВИЧ"/>
        <s v="ООО &quot;ДЕКОР-М&quot;"/>
        <s v="ООО &quot;АМИКАН&quot;"/>
        <s v="МУХАМЕДОВА ИРИНА ВАЛЕНТИНОВНА"/>
        <s v="ООО &quot;ФМ-СЕРВИС&quot;"/>
        <s v="ООО &quot;АЗУР ЭЙР&quot;"/>
        <s v="АО &quot;ДЦВ КРАСНОЯРСКОЙ Ж.Д.&quot;"/>
        <s v="ООО &quot;КВАРЦ&quot;"/>
        <s v="СУХАЧЁВ АЛЕКСЕЙ АЛЕКСЕЕВИЧ"/>
        <s v="СИТЯЕВ АНДРЕЙ ПЕТРОВИЧ"/>
        <s v="ООО &quot;ГРИНПРОДУКТ&quot;"/>
        <s v="НОВИЧОК АЛЕКСАНДР ЕВГЕНЬЕВИЧ"/>
        <s v="АКСЕНОВА НАТАЛЬЯ ВЛАДИМИРОВНА"/>
        <s v="ООО &quot;ВИНАТ&quot;"/>
        <s v="КИТАЙЧУК ЕКАТЕРИНА ВИКТОРОВНА"/>
        <s v="ДО МИРА ВЛАДИМИРОВНА"/>
        <s v="ЕГОРОВА НАДЕЖДА НИКОЛАЕВНА"/>
        <s v="БАДАЕВА САРГЫЛАНА ВАСИЛЬЕВНА"/>
        <s v="ЕРЫШКАНОВ ВЛАДИМИР ВЛАДИМИРОВИЧ"/>
        <s v="ООО &quot;АВТОЛАЙФ&quot;"/>
        <s v="ПЕТРОВА ИННА ЕВГЕНЬЕВНА"/>
        <s v="ПРАСКОВА АНАСТАСИЯ СЕРГЕЕВНА"/>
        <s v="НИГМАТЗЯНОВ ОЛЕГ МИХАЙЛОВИЧ"/>
        <s v="СЕРДЮК АЛЕКСАНДР ВЛАДИМИРОВИЧ"/>
        <s v="АЛЕКСАНДРОВА АЛЕКСАНДРА АЛЕКСАНДРОВНА"/>
        <s v="САВВИНОВ ЕГОР ЕГОРОВИЧ"/>
        <s v="ФИЛИМОНОВА ГАЛИНА МИХАЙЛОВНА"/>
        <s v="МЕСТНИКОВА ЛИРА РЕВОЛЬЕВНА"/>
        <s v="ГЛАДКИХ АРТЕМ АЛЕКСАНДРОВИЧ"/>
        <s v="ООО &quot;ВЛ ЛЕС&quot;"/>
        <s v="ЮРЧЕНКО ЗИНАИДА АЛЕКСЕЕВНА"/>
        <s v="СОЛОВЬЕВ ДМИТРИЙ БОРИСОВИЧ"/>
        <s v="ООО &quot;ЯКУТКЕРАМИКА&quot;"/>
        <s v="ПОЛЮХОВИЧ ЯРОСЛАВ ПЕТРОВИЧ"/>
        <s v="БУРЦЕВ АЛЕКСЕЙ АФАНАСЬЕВИЧ"/>
        <s v="ВАСИЛЬЕВ ВЯЧЕСЛАВ САВВИЧ"/>
        <s v="ЯКУШКОВ АЛЕКСАНДР АЛЕКСАНДРОВИЧ"/>
        <s v="ОСИПОВА МАРИАННА ЕЛИЗАРОВНА"/>
        <s v="МУРУНОВ ТРОФИМ НИКОЛАЕВИЧ"/>
        <s v="ПЕТРОВ ГРИГОРИЙ ЮРЬЕВИЧ"/>
        <s v="ИВАНОВ АЛЕКСЕЙ КОНСТАНТИНОВИЧ"/>
        <s v="Современный дом"/>
        <s v="ИВАНОВ ГРИГОРИЙ СЕМЕНОВИЧ"/>
        <s v="КОЛОДЕЗНИКОВА АЙТАЛИНА ИННОКЕНТЬЕВНА"/>
        <s v="ООО &quot;ТРЭЙДЕР&quot;"/>
        <s v="ИЛЬЧЕНКО ОЛЬГА ГЕННАДИЕВНА"/>
        <s v="ООО &quot;ЮМА ГРУПП&quot;"/>
        <s v="БАЙРАМИДИ СТАНИСЛАВ ВЛАДИМИРОВИЧ"/>
        <s v="ООО &quot;СИБНОРД&quot;"/>
        <s v="АЛЕКСЕЕВ ПЕТР СПИРИДОНОВИЧ"/>
        <s v="ООО &quot;ОРИОН-ЭКСПРЕССИЯ&quot;"/>
        <s v="МОЗГОВАЯ НАТАЛЬЯ ГРИГОРЬЕВНА"/>
        <s v="ООО &quot;НОРДТОРГ&quot;"/>
        <s v="ООО &quot;АВАНГАРД&quot;"/>
        <s v="КУЛИКОВ ЕВГЕНИЙ МИХАЙЛОВИЧ"/>
        <s v="Есиневич"/>
        <s v="ПОЛЬКИНА НАТАЛЬЯ АЛЕКСЕЕВНА"/>
        <s v="ООО &quot;АЛЬТЕРНАТИВА&quot;"/>
        <s v="ВАН СЯОШУАЙ"/>
        <s v="ООО &quot;ЦЕНТРСТРОЙСНАБ&quot;"/>
        <s v="ООО ТД &quot;ПРЕМЬЕР&quot;"/>
        <s v="ООО &quot;АРСЕНАЛ РТИ&quot;"/>
        <s v="ООО &quot;АТК СИБИРЬ&quot;"/>
        <s v="ПЕСКОВ ТИМУР ЮРЬЕВИЧ"/>
        <s v="КАРПИНСКИЙ ВИКТОР ИВАНОВИЧ"/>
        <s v="ООО &quot;СПЕКТРСАХ&quot;"/>
        <s v="ТОКАРЕВ ВЯЧЕСЛАВ ГЕОРГИЕВИЧ"/>
        <s v="ООО &quot;СК ОМЕГА&quot;"/>
        <s v="ООО &quot;ДАЛЬСАХСТРОЙ&quot;"/>
        <s v="НОЩЕНКО ДМИТРИЙ ВЛАДИМИРОВИЧ"/>
        <s v="ООО &quot;ТД ЗОДЧИЙ&quot;"/>
        <s v="ООО &quot;ВОСТОК-МГК&quot;"/>
        <s v="ООО &quot;ПЕРЕВАЛ&quot;"/>
        <s v="ООО &quot;ФЕМКО-МЕНЕДЖМЕНТ&quot;"/>
        <s v="ИГОНТОВ ДМИТРИЙ АЛЕКСАНДРОВИЧ"/>
        <s v="ООО &quot;НЕФТЕГАЗСНАБ&quot;"/>
        <s v="ООО &quot;АРМАДА&quot;"/>
        <s v="ПАК ИГОРЬ СУНГВАНОВИЧ"/>
        <s v="БИВОЛ ИВАН КОНСТАНТИНОВИЧ"/>
        <s v="ДУБОВЧЕНКО АНДРЕЙ ВИКТОРОВИЧ"/>
        <s v="ООО &quot;ТЕХНОДОМ&quot;"/>
        <s v="ООО &quot;СИМОСТ&quot;"/>
        <s v="ООО &quot;СГК&quot;"/>
        <s v="ООО &quot;ПЕРВАЯ ГАЗОВАЯ КОМПАНИЯ&quot;"/>
        <s v="ООО &quot;КСА ДОЙТАГ РАША&quot;"/>
        <s v="Дубинин"/>
        <s v="СЕВАСТЬЯНОВ ЭДУАРД ЮРЬЕВИЧ"/>
        <s v="БУРДИНСКИЙ АНДРЕЙ ВЛАДИМИРОВИЧ"/>
        <s v="ООО &quot;ВСТК-СЕРВИС&quot;"/>
        <s v="ООО &quot;КОМПАНИЯ АЮСС&quot;"/>
        <s v="ООО &quot;ХИМТРЕЙД&quot;"/>
        <s v="ООО &quot;ФАРБЕН УФА&quot;"/>
        <s v="ООО &quot;КВАРТ&quot;"/>
        <s v="ООО &quot;ПЛАЗА ДЕКОР&quot;"/>
        <s v="АО &quot;УЛКЗ&quot;"/>
        <s v="ООО &quot;БОБЁР ПОСТАВКА&quot;"/>
        <s v="ТАРАСОВА ЮЛИЯ ВЯЧЕСЛАВОВНА"/>
        <s v="ДАНИЛОВ СЕРГЕЙ ВЛАДИМИРОВИЧ"/>
        <s v="ГИЛЬМАНШИН САЛАВАТ КАМИЛОВИЧ"/>
        <s v="ООО &quot;ПК РЕАЛ&quot;"/>
        <s v="ЦАПАЛОВ ВЛАДИМИР СЕРГЕЕВИЧ"/>
        <s v="ООО &quot;КОММУНПРОМСТРОЙ&quot;"/>
        <s v="МИРОНОВА ЕКАТЕРИНА ПАВЛОВНА"/>
        <s v="ООО ЛКЗ &quot;ДЕОЛЬ&quot;"/>
        <s v="ВАЛЕЕВ РАФАИЛ ЮМАГИЛЬДЕЕВИЧ"/>
        <s v="МАКСИМЕНКО ЕВГЕНИЙ ВЛАДИМИРОВИЧ"/>
        <s v="ООО &quot;ПИТТУРА&quot;"/>
        <s v="ООО &quot;МАГНАТ&quot;"/>
        <s v="ГУСЛИСТОВ ИГОРЬ НИКОЛАЕВИЧ"/>
        <s v="ООО &quot;АКВАРЕЛЬ&quot;"/>
        <s v="КУЛАГИНА НАДЕЖДА ЮРЬЕВНА"/>
        <s v="ШУМЕЙКО ДМИТРИЙ ЭЛИКСОВИЧ"/>
        <s v="ООО &quot;КОМТЕЛЭНЕРГО&quot;"/>
        <s v="ООО &quot;ТД &quot;ВТР&quot;"/>
        <s v="АО &quot;СТЕКЛОНИТ&quot;"/>
        <s v="ООО &quot;ЭВРИКА&quot;"/>
        <s v="ООО &quot;РБ МОТОРС&quot;"/>
        <s v="МАМЛЕЕВА КАРИНА РУСТЭМОВНА"/>
        <s v="БАРКОВ АЛЕКСАНДР АЛЕКСАНДРОВИЧ"/>
        <s v="МАЛЫШЕНКОВ ОЛЕГ ЛЕОНИДОВИЧ"/>
        <s v="АО &quot;СТН-Б&quot;"/>
        <s v="ООО &quot;СТРОЙСБЫТ-ДВ&quot;"/>
        <s v="ООО &quot;АЗБУКА КРАСОК&quot;"/>
        <s v="ООО &quot;ФОРМАТ-ДВ&quot;"/>
        <s v="ООО &quot;ГИДРОМАШУФА&quot;"/>
        <s v="ООО &quot;АРДИС ДВ&quot;"/>
        <s v="ООО &quot;ТД НАВИГАТОР&quot;"/>
        <s v="ООО &quot;МИРЭКС ДВ&quot;"/>
        <s v="ООО &quot;АЛЬФАСТРОЙ&quot;"/>
        <s v="КУХАРЧУК МАРИЯ СЕРГЕЕВНА"/>
        <s v="КИЕВЦЕВ АЛЕКСЕЙ ВЛАДИМИРОВИЧ"/>
        <s v="ХАБИРОВ ТИМУР МАРАТОВИЧ"/>
        <s v="ООО &quot;ЛЕГИОН&quot;"/>
        <s v="ООО ТК &quot;ГРАНД&quot;"/>
        <s v="ХАЙРЕТДИНОВА ОКСАНА РАФАИЛОВНА"/>
        <s v="ЯМГУРОВ ИЛЬДАР УСМАНОВИЧ"/>
        <s v="ООО &quot;КЭС&quot;"/>
        <s v="ООО &quot;РЕМСИТИ&quot;"/>
        <s v="ООО &quot;АКВАТИКА-СТРОЙ&quot;"/>
        <s v="ООО &quot;НПФ&quot;РУМИКС&quot;"/>
        <s v="САЛЯХОВ АЙДАР ЯНИСОВИЧ"/>
        <s v="ООО &quot;ПРОФСАН ДВ&quot;"/>
        <s v="ООО ПП &quot;ПРОМТЕХРЕСУРСЫ&quot;"/>
        <s v="ГАРИФУЛЛИНА КАМИЛЛА АЙРАТОВНА"/>
        <s v="ООО &quot;НТФ &quot;ВОСТОКНЕФТЕГАЗ&quot;"/>
        <s v="ООО &quot;СМИТ&quot;"/>
        <s v="ООО &quot;КОМПАНИЯ ГАММА&quot;"/>
        <s v="ООО &quot;ОЛИМП&quot;"/>
        <s v="ООО &quot;КОМПАНИЯ &quot;КОВЧЕГ&quot;"/>
        <s v="ООО &quot;МИСТЕР&quot;"/>
        <s v="ПЕТРОВА АННА АЛЕКСАНДРОВНА"/>
        <s v="АРСЛАНОВ ШАМИЛЬ ФОАТОВИЧ"/>
        <s v="ООО &quot;ТД &quot;АЛЬЯНС-СТРОЙ&quot;"/>
        <s v="ФКУ &quot;ОСК ВОСТОЧНОГО ВОЕННОГО ОКРУГА&quot;"/>
        <s v="ПАО &quot;УФАОРГСИНТЕЗ&quot;"/>
        <s v="ООО &quot;БАШНЕФТЬ-ДОБЫЧА&quot;"/>
        <s v="ООО &quot;ЦКМС&quot;"/>
        <s v="АО &quot;ХРТЗ&quot;"/>
        <s v="АО &quot;УППО&quot;"/>
        <s v="ВИТЮГИН ОЛЕГ МИХАЙЛОВИЧ"/>
        <s v="АО &quot;ПРОМЖД-ГАРАНТ&quot;"/>
        <s v="ООО &quot;БАШСТРОЙ&quot;"/>
        <s v="ООО &quot;БТГС&quot;"/>
        <s v="ООО &quot;МААМ&quot;"/>
        <s v="ООО &quot;ТД АРМА-ТРЕЙД&quot;"/>
        <s v="ООО &quot;ЦЕНТР 24/7&quot;"/>
        <s v="ООО &quot;ЦЕНТР КОМПЕТЕНЦИИ&quot;"/>
        <s v="ООО &quot;ИСРЗ&quot;"/>
        <s v="ООО &quot;КВАДРОТРЕЙД&quot;"/>
        <s v="ООО &quot;СТД&quot;"/>
        <s v="АО &quot;ХАБАРОВСКИЕ АВИАЛИНИИ&quot;"/>
        <s v="ООО &quot;БАШРЕЗИНА&quot;"/>
        <s v="ООО &quot;ЗЗБ&quot;"/>
        <s v="ООО &quot;МЕРИДИАН&quot;"/>
        <s v="ЧУДПО УНЦ &quot;ГЕОФИЗИКА&quot;"/>
        <s v="ЖУРАВЛЕВ АЛЕКСАНДР СЕРГЕЕВИЧ"/>
        <s v="ООО &quot;РИВЬЕРА ДВ&quot;"/>
        <s v="ООО &quot;ЛКЦ &quot;ЛОР-КЛИНИКА&quot;"/>
        <s v="ООО &quot;МЕГАСТРОЙ&quot;"/>
        <s v="ООО &quot;АЮСС-ВСТК&quot;"/>
        <s v="ООО ТК &quot;КРИПТ&quot;"/>
        <s v="КУЧЕРАВЕНКО ВЯЧЕСЛАВ МИХАЙЛОВИЧ"/>
        <s v="ООО &quot;ПРОФИ ЛОГ&quot;"/>
        <s v="ООО &quot;КОМПАНИЯ КОМПЛЕКТОЛ&quot;"/>
        <s v="ООО &quot;АВТОПЛАСТ&quot;"/>
        <s v="ООО &quot;АНТИКОР ДВ&quot;"/>
        <s v="БУРКЕЦОВ ИГОРЬ ВЛАДИМИРОВИЧ"/>
        <s v="ООО &quot; ПИРАМИДА-ДВ&quot;"/>
        <s v="ИОФФЕ ЕВГЕНИЙ ИОСИФОВИЧ"/>
        <s v="ГАЛДЕНКОВ ЕВГЕНИЙ ПАВЛОВИЧ"/>
        <s v="ООО &quot;ПРОГРЕСС-СТРОЙ&quot;"/>
        <s v="Иоффе"/>
        <s v="МИХАЙЛОВ АЛЕКСАНДР СЕРГЕЕВИЧ"/>
        <s v="СОКОЛОВ ДЕНИС ПЕТРОВИЧ"/>
        <s v="ООО &quot;СТРОЙРЕСУРС&quot;"/>
        <s v="ООО &quot;БАСТИОН&quot;"/>
        <s v="ООО &quot;УЗДТ&quot;"/>
        <s v="ООО &quot;ИДЕАЛ&quot;"/>
        <s v="ООО &quot;ГРАДИЕНТ&quot;"/>
        <s v="ООО &quot;ЛАК ДВ&quot;"/>
        <s v="ООО &quot;ЮНИОН&quot;"/>
        <s v="ООО &quot;ВЕКСТРОЙ&quot;"/>
        <s v="ВОРОБЬЁВА ЕЛЕНА СЕРГЕЕВНА"/>
        <s v="ООО &quot;ВГТ ПРИМОРЬЕ&quot;"/>
        <s v="СМИРНОВ ДМИТРИЙ ВАЛЕРЬЕВИЧ"/>
        <s v="ООО &quot;СЕРВИС-СТРОЙ&quot;"/>
        <s v="КОНЫШЕВА СВЕТЛАНА ДМИТРИЕВНА"/>
        <s v="ООО &quot;ПОМОЩНИК&quot;"/>
        <s v="ООО &quot;ПОМОЩНИК ДВ&quot;"/>
        <s v="ООО &quot;ПЕРУПАКОМ&quot;"/>
        <s v="БОНДА ИРИНА ГЕННАДЬЕВНА"/>
        <s v="ООО &quot;КОМПАНИЯ &quot;КОВЧЕГ-ПРИМОРЬЕ&quot;"/>
        <s v="ООО &quot;КОМПАНИЯ ИЗОЛЮКС&quot;"/>
        <s v="ООО &quot;ИНФОСТРОЙ&quot;"/>
        <s v="ООО &quot;ШКАПОВСКОЕ ГПП&quot;"/>
        <s v="ООО &quot;ИДЕЯ&quot;"/>
        <s v="КАРАКУЛОВА МАРИЯ ВАЛЕРЬЕВНА"/>
        <s v="АЛЕКСЕЕВА ЛИНА АЛЕКСЕЕВНА"/>
        <s v="ООО &quot;АЛЬЯНСТОРГ&quot;"/>
        <s v="ООО &quot;ВОСТОКХИМСЕРВИС&quot;"/>
        <s v="ООО &quot;МЕГАТРЕЙД&quot;"/>
        <s v="ЛЫСЕНКО ДМИТРИЙ СЕРГЕЕВИЧ"/>
        <s v="ООО &quot;ЛИДЕРГРУПП&quot;"/>
      </sharedItems>
    </cacheField>
    <cacheField name="Выручка рынок" numFmtId="4">
      <sharedItems containsSemiMixedTypes="0" containsString="0" containsNumber="1" minValue="209" maxValue="396125198.44999999"/>
    </cacheField>
    <cacheField name="LTV конкурентов" numFmtId="4">
      <sharedItems containsSemiMixedTypes="0" containsString="0" containsNumber="1" minValue="209" maxValue="396125198.44999999"/>
    </cacheField>
    <cacheField name="LTV контрагента" numFmtId="4">
      <sharedItems containsSemiMixedTypes="0" containsString="0" containsNumber="1" minValue="209" maxValue="396125198.44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50">
  <r>
    <s v="Иные террит. включая Байконур"/>
    <x v="0"/>
    <x v="0"/>
    <x v="0"/>
    <n v="12166835"/>
    <n v="12166835"/>
    <n v="12166835"/>
  </r>
  <r>
    <s v="Красноярский край (2)"/>
    <x v="1"/>
    <x v="0"/>
    <x v="1"/>
    <n v="170700"/>
    <n v="170700"/>
    <n v="170700"/>
  </r>
  <r>
    <s v="Амурская область"/>
    <x v="2"/>
    <x v="1"/>
    <x v="2"/>
    <n v="115124858.8"/>
    <n v="115124858.8"/>
    <n v="115124858.8"/>
  </r>
  <r>
    <s v="Амурская область"/>
    <x v="2"/>
    <x v="2"/>
    <x v="3"/>
    <n v="37848356.479999997"/>
    <n v="37848356.479999997"/>
    <n v="37848356.479999997"/>
  </r>
  <r>
    <s v="Амурская область"/>
    <x v="2"/>
    <x v="3"/>
    <x v="4"/>
    <n v="21301546.940000001"/>
    <n v="21301546.940000001"/>
    <n v="21301546.940000001"/>
  </r>
  <r>
    <s v="Амурская область"/>
    <x v="2"/>
    <x v="3"/>
    <x v="5"/>
    <n v="5767157.5"/>
    <n v="5767157.5"/>
    <n v="5767157.5"/>
  </r>
  <r>
    <s v="Амурская область"/>
    <x v="2"/>
    <x v="3"/>
    <x v="6"/>
    <n v="2178384.92"/>
    <n v="2178384.92"/>
    <n v="2178384.92"/>
  </r>
  <r>
    <s v="Амурская область"/>
    <x v="2"/>
    <x v="4"/>
    <x v="7"/>
    <n v="18580824.989999998"/>
    <n v="18580824.989999998"/>
    <n v="18580824.989999998"/>
  </r>
  <r>
    <s v="Амурская область"/>
    <x v="2"/>
    <x v="4"/>
    <x v="8"/>
    <n v="7015728.7199999997"/>
    <n v="7015728.7199999997"/>
    <n v="7015728.7199999997"/>
  </r>
  <r>
    <s v="Амурская область"/>
    <x v="2"/>
    <x v="4"/>
    <x v="9"/>
    <n v="245304"/>
    <n v="245304"/>
    <n v="245304"/>
  </r>
  <r>
    <s v="Амурская область"/>
    <x v="2"/>
    <x v="4"/>
    <x v="10"/>
    <n v="2515723.2000000002"/>
    <n v="2515723.2000000002"/>
    <n v="2515723.2000000002"/>
  </r>
  <r>
    <s v="Амурская область"/>
    <x v="2"/>
    <x v="5"/>
    <x v="8"/>
    <n v="22982715.629999999"/>
    <n v="22982715.629999999"/>
    <n v="22982715.629999999"/>
  </r>
  <r>
    <s v="Амурская область"/>
    <x v="2"/>
    <x v="5"/>
    <x v="11"/>
    <n v="48281.86"/>
    <n v="48281.86"/>
    <n v="48281.86"/>
  </r>
  <r>
    <s v="Амурская область"/>
    <x v="2"/>
    <x v="6"/>
    <x v="12"/>
    <n v="12480000"/>
    <n v="12480000"/>
    <n v="12480000"/>
  </r>
  <r>
    <s v="Амурская область"/>
    <x v="2"/>
    <x v="6"/>
    <x v="13"/>
    <n v="257067.16"/>
    <n v="257067.16"/>
    <n v="257067.16"/>
  </r>
  <r>
    <s v="Амурская область"/>
    <x v="2"/>
    <x v="7"/>
    <x v="7"/>
    <n v="11023072.5"/>
    <n v="11023072.5"/>
    <n v="11023072.5"/>
  </r>
  <r>
    <s v="Амурская область"/>
    <x v="2"/>
    <x v="8"/>
    <x v="2"/>
    <n v="9648555.9399999995"/>
    <n v="9648555.9399999995"/>
    <n v="9648555.9399999995"/>
  </r>
  <r>
    <s v="Амурская область"/>
    <x v="2"/>
    <x v="9"/>
    <x v="14"/>
    <n v="8081968.7999999998"/>
    <n v="8081968.7999999998"/>
    <n v="8081968.7999999998"/>
  </r>
  <r>
    <s v="Амурская область"/>
    <x v="2"/>
    <x v="9"/>
    <x v="15"/>
    <n v="1013677.9"/>
    <n v="1013677.9"/>
    <n v="1013677.9"/>
  </r>
  <r>
    <s v="Амурская область"/>
    <x v="2"/>
    <x v="10"/>
    <x v="7"/>
    <n v="7592919.6799999997"/>
    <n v="7592919.6799999997"/>
    <n v="7592919.6799999997"/>
  </r>
  <r>
    <s v="Амурская область"/>
    <x v="2"/>
    <x v="11"/>
    <x v="16"/>
    <n v="2458344.0299999998"/>
    <n v="2458344.0299999998"/>
    <n v="2458344.0299999998"/>
  </r>
  <r>
    <s v="Амурская область"/>
    <x v="2"/>
    <x v="12"/>
    <x v="17"/>
    <n v="1791405.52"/>
    <n v="1791405.52"/>
    <n v="1791405.52"/>
  </r>
  <r>
    <s v="Амурская область"/>
    <x v="2"/>
    <x v="13"/>
    <x v="10"/>
    <n v="574781.64"/>
    <n v="574781.64"/>
    <n v="574781.64"/>
  </r>
  <r>
    <s v="Амурская область"/>
    <x v="2"/>
    <x v="14"/>
    <x v="7"/>
    <n v="394122.66"/>
    <n v="394122.66"/>
    <n v="394122.66"/>
  </r>
  <r>
    <s v="Амурская область"/>
    <x v="2"/>
    <x v="15"/>
    <x v="4"/>
    <n v="276561.63"/>
    <n v="276561.63"/>
    <n v="276561.63"/>
  </r>
  <r>
    <s v="Еврейская автономная область"/>
    <x v="3"/>
    <x v="16"/>
    <x v="18"/>
    <n v="1678652"/>
    <n v="1678652"/>
    <n v="1678652"/>
  </r>
  <r>
    <s v="Еврейская автономная область"/>
    <x v="3"/>
    <x v="6"/>
    <x v="19"/>
    <n v="957642.83"/>
    <n v="957642.83"/>
    <n v="957642.83"/>
  </r>
  <r>
    <s v="Еврейская автономная область"/>
    <x v="3"/>
    <x v="17"/>
    <x v="20"/>
    <n v="122068.12"/>
    <n v="122068.12"/>
    <n v="122068.12"/>
  </r>
  <r>
    <s v="Забайкальский край"/>
    <x v="4"/>
    <x v="18"/>
    <x v="21"/>
    <n v="20416904.829999998"/>
    <n v="20416904.829999998"/>
    <n v="20416904.829999998"/>
  </r>
  <r>
    <s v="Забайкальский край"/>
    <x v="4"/>
    <x v="18"/>
    <x v="22"/>
    <n v="9627273.1300000008"/>
    <n v="9627273.1300000008"/>
    <n v="9627273.1300000008"/>
  </r>
  <r>
    <s v="Забайкальский край"/>
    <x v="4"/>
    <x v="4"/>
    <x v="23"/>
    <n v="9127270.0199999996"/>
    <n v="9127270.0199999996"/>
    <n v="9127270.0199999996"/>
  </r>
  <r>
    <s v="Забайкальский край"/>
    <x v="4"/>
    <x v="4"/>
    <x v="24"/>
    <n v="8305429.5199999996"/>
    <n v="8305429.5199999996"/>
    <n v="8305429.5199999996"/>
  </r>
  <r>
    <s v="Забайкальский край"/>
    <x v="4"/>
    <x v="4"/>
    <x v="25"/>
    <n v="962009.24"/>
    <n v="962009.24"/>
    <n v="962009.24"/>
  </r>
  <r>
    <s v="Забайкальский край"/>
    <x v="4"/>
    <x v="4"/>
    <x v="26"/>
    <n v="48468.56"/>
    <n v="48468.56"/>
    <n v="48468.56"/>
  </r>
  <r>
    <s v="Забайкальский край"/>
    <x v="4"/>
    <x v="12"/>
    <x v="27"/>
    <n v="17403973.420000002"/>
    <n v="17403973.420000002"/>
    <n v="17403973.420000002"/>
  </r>
  <r>
    <s v="Забайкальский край"/>
    <x v="4"/>
    <x v="9"/>
    <x v="28"/>
    <n v="8732333.5"/>
    <n v="8732333.5"/>
    <n v="8732333.5"/>
  </r>
  <r>
    <s v="Забайкальский край"/>
    <x v="4"/>
    <x v="9"/>
    <x v="29"/>
    <n v="2383373"/>
    <n v="2383373"/>
    <n v="2383373"/>
  </r>
  <r>
    <s v="Забайкальский край"/>
    <x v="4"/>
    <x v="9"/>
    <x v="30"/>
    <n v="1958541.5"/>
    <n v="1958541.5"/>
    <n v="1958541.5"/>
  </r>
  <r>
    <s v="Забайкальский край"/>
    <x v="4"/>
    <x v="9"/>
    <x v="31"/>
    <n v="1685992"/>
    <n v="1685992"/>
    <n v="1685992"/>
  </r>
  <r>
    <s v="Забайкальский край"/>
    <x v="4"/>
    <x v="9"/>
    <x v="32"/>
    <n v="1080299.8"/>
    <n v="1080299.8"/>
    <n v="1080299.8"/>
  </r>
  <r>
    <s v="Забайкальский край"/>
    <x v="4"/>
    <x v="5"/>
    <x v="29"/>
    <n v="9011220.0899999999"/>
    <n v="9011220.0899999999"/>
    <n v="9011220.0899999999"/>
  </r>
  <r>
    <s v="Забайкальский край"/>
    <x v="4"/>
    <x v="5"/>
    <x v="33"/>
    <n v="848660.03"/>
    <n v="848660.03"/>
    <n v="848660.03"/>
  </r>
  <r>
    <s v="Забайкальский край"/>
    <x v="4"/>
    <x v="5"/>
    <x v="34"/>
    <n v="749000.48"/>
    <n v="749000.48"/>
    <n v="749000.48"/>
  </r>
  <r>
    <s v="Забайкальский край"/>
    <x v="4"/>
    <x v="5"/>
    <x v="35"/>
    <n v="389692.98"/>
    <n v="389692.98"/>
    <n v="389692.98"/>
  </r>
  <r>
    <s v="Забайкальский край"/>
    <x v="4"/>
    <x v="5"/>
    <x v="36"/>
    <n v="343203.57"/>
    <n v="343203.57"/>
    <n v="343203.57"/>
  </r>
  <r>
    <s v="Забайкальский край"/>
    <x v="4"/>
    <x v="5"/>
    <x v="37"/>
    <n v="321474.34999999998"/>
    <n v="321474.34999999998"/>
    <n v="321474.34999999998"/>
  </r>
  <r>
    <s v="Забайкальский край"/>
    <x v="4"/>
    <x v="5"/>
    <x v="22"/>
    <n v="287558.32"/>
    <n v="287558.32"/>
    <n v="287558.32"/>
  </r>
  <r>
    <s v="Забайкальский край"/>
    <x v="4"/>
    <x v="5"/>
    <x v="38"/>
    <n v="59507.5"/>
    <n v="59507.5"/>
    <n v="59507.5"/>
  </r>
  <r>
    <s v="Забайкальский край"/>
    <x v="4"/>
    <x v="5"/>
    <x v="39"/>
    <n v="49711.29"/>
    <n v="49711.29"/>
    <n v="49711.29"/>
  </r>
  <r>
    <s v="Забайкальский край"/>
    <x v="4"/>
    <x v="5"/>
    <x v="40"/>
    <n v="25964.25"/>
    <n v="25964.25"/>
    <n v="25964.25"/>
  </r>
  <r>
    <s v="Забайкальский край"/>
    <x v="4"/>
    <x v="5"/>
    <x v="41"/>
    <n v="18381.099999999999"/>
    <n v="18381.099999999999"/>
    <n v="18381.099999999999"/>
  </r>
  <r>
    <s v="Забайкальский край"/>
    <x v="4"/>
    <x v="16"/>
    <x v="42"/>
    <n v="11239187"/>
    <n v="11239187"/>
    <n v="11239187"/>
  </r>
  <r>
    <s v="Забайкальский край"/>
    <x v="4"/>
    <x v="8"/>
    <x v="43"/>
    <n v="8710378.7400000002"/>
    <n v="8710378.7400000002"/>
    <n v="8710378.7400000002"/>
  </r>
  <r>
    <s v="Забайкальский край"/>
    <x v="4"/>
    <x v="8"/>
    <x v="44"/>
    <n v="2456875.39"/>
    <n v="2456875.39"/>
    <n v="2456875.39"/>
  </r>
  <r>
    <s v="Забайкальский край"/>
    <x v="4"/>
    <x v="3"/>
    <x v="45"/>
    <n v="3767971.45"/>
    <n v="3767971.45"/>
    <n v="3767971.45"/>
  </r>
  <r>
    <s v="Забайкальский край"/>
    <x v="4"/>
    <x v="3"/>
    <x v="46"/>
    <n v="3012994.15"/>
    <n v="3012994.15"/>
    <n v="3012994.15"/>
  </r>
  <r>
    <s v="Забайкальский край"/>
    <x v="4"/>
    <x v="3"/>
    <x v="31"/>
    <n v="629661.53"/>
    <n v="629661.53"/>
    <n v="629661.53"/>
  </r>
  <r>
    <s v="Забайкальский край"/>
    <x v="4"/>
    <x v="13"/>
    <x v="46"/>
    <n v="1333845.22"/>
    <n v="1333845.22"/>
    <n v="1333845.22"/>
  </r>
  <r>
    <s v="Забайкальский край"/>
    <x v="4"/>
    <x v="15"/>
    <x v="44"/>
    <n v="387473.91"/>
    <n v="387473.91"/>
    <n v="387473.91"/>
  </r>
  <r>
    <s v="Забайкальский край"/>
    <x v="4"/>
    <x v="15"/>
    <x v="22"/>
    <n v="310583.89"/>
    <n v="310583.89"/>
    <n v="310583.89"/>
  </r>
  <r>
    <s v="Забайкальский край"/>
    <x v="4"/>
    <x v="15"/>
    <x v="47"/>
    <n v="281078.15999999997"/>
    <n v="281078.15999999997"/>
    <n v="281078.15999999997"/>
  </r>
  <r>
    <s v="Забайкальский край"/>
    <x v="4"/>
    <x v="15"/>
    <x v="48"/>
    <n v="167185.56"/>
    <n v="167185.56"/>
    <n v="167185.56"/>
  </r>
  <r>
    <s v="Забайкальский край"/>
    <x v="4"/>
    <x v="15"/>
    <x v="45"/>
    <n v="114315.24"/>
    <n v="114315.24"/>
    <n v="114315.24"/>
  </r>
  <r>
    <s v="Забайкальский край"/>
    <x v="4"/>
    <x v="15"/>
    <x v="49"/>
    <n v="29844"/>
    <n v="29844"/>
    <n v="29844"/>
  </r>
  <r>
    <s v="Забайкальский край"/>
    <x v="4"/>
    <x v="17"/>
    <x v="50"/>
    <n v="772662.17"/>
    <n v="772662.17"/>
    <n v="772662.17"/>
  </r>
  <r>
    <s v="Забайкальский край"/>
    <x v="4"/>
    <x v="10"/>
    <x v="24"/>
    <n v="30000"/>
    <n v="30000"/>
    <n v="30000"/>
  </r>
  <r>
    <s v="Забайкальский край"/>
    <x v="4"/>
    <x v="6"/>
    <x v="51"/>
    <n v="3000"/>
    <n v="3000"/>
    <n v="3000"/>
  </r>
  <r>
    <s v="Забайкальский край"/>
    <x v="4"/>
    <x v="6"/>
    <x v="52"/>
    <n v="2502.48"/>
    <n v="2502.48"/>
    <n v="2502.48"/>
  </r>
  <r>
    <s v="Иркутская область"/>
    <x v="5"/>
    <x v="18"/>
    <x v="53"/>
    <n v="52283133.310000002"/>
    <n v="52283133.310000002"/>
    <n v="52283133.310000002"/>
  </r>
  <r>
    <s v="Иркутская область"/>
    <x v="5"/>
    <x v="18"/>
    <x v="54"/>
    <n v="32392323.440000001"/>
    <n v="32392323.440000001"/>
    <n v="32392323.440000001"/>
  </r>
  <r>
    <s v="Иркутская область"/>
    <x v="5"/>
    <x v="18"/>
    <x v="55"/>
    <n v="20639172.210000001"/>
    <n v="20639172.210000001"/>
    <n v="20639172.210000001"/>
  </r>
  <r>
    <s v="Иркутская область"/>
    <x v="5"/>
    <x v="18"/>
    <x v="56"/>
    <n v="17444626.68"/>
    <n v="17444626.68"/>
    <n v="17444626.68"/>
  </r>
  <r>
    <s v="Иркутская область"/>
    <x v="5"/>
    <x v="18"/>
    <x v="57"/>
    <n v="7461215.71"/>
    <n v="7461215.71"/>
    <n v="7461215.71"/>
  </r>
  <r>
    <s v="Иркутская область"/>
    <x v="5"/>
    <x v="18"/>
    <x v="58"/>
    <n v="6355405.8200000003"/>
    <n v="6355405.8200000003"/>
    <n v="6355405.8200000003"/>
  </r>
  <r>
    <s v="Иркутская область"/>
    <x v="5"/>
    <x v="18"/>
    <x v="59"/>
    <n v="4617274.8899999997"/>
    <n v="4617274.8899999997"/>
    <n v="4617274.8899999997"/>
  </r>
  <r>
    <s v="Иркутская область"/>
    <x v="5"/>
    <x v="18"/>
    <x v="60"/>
    <n v="4358805.66"/>
    <n v="4358805.66"/>
    <n v="4358805.66"/>
  </r>
  <r>
    <s v="Иркутская область"/>
    <x v="5"/>
    <x v="2"/>
    <x v="61"/>
    <n v="52159027.82"/>
    <n v="52159027.82"/>
    <n v="52159027.82"/>
  </r>
  <r>
    <s v="Иркутская область"/>
    <x v="5"/>
    <x v="2"/>
    <x v="62"/>
    <n v="15747670.59"/>
    <n v="15747670.59"/>
    <n v="15747670.59"/>
  </r>
  <r>
    <s v="Иркутская область"/>
    <x v="5"/>
    <x v="2"/>
    <x v="63"/>
    <n v="8193964.1799999997"/>
    <n v="8193964.1799999997"/>
    <n v="8193964.1799999997"/>
  </r>
  <r>
    <s v="Иркутская область"/>
    <x v="5"/>
    <x v="5"/>
    <x v="64"/>
    <n v="13586832.33"/>
    <n v="13586832.33"/>
    <n v="13586832.33"/>
  </r>
  <r>
    <s v="Иркутская область"/>
    <x v="5"/>
    <x v="5"/>
    <x v="60"/>
    <n v="5730085.3499999996"/>
    <n v="5730085.3499999996"/>
    <n v="5730085.3499999996"/>
  </r>
  <r>
    <s v="Иркутская область"/>
    <x v="5"/>
    <x v="5"/>
    <x v="65"/>
    <n v="5206122.04"/>
    <n v="5206122.04"/>
    <n v="5206122.04"/>
  </r>
  <r>
    <s v="Иркутская область"/>
    <x v="5"/>
    <x v="5"/>
    <x v="66"/>
    <n v="3596569.52"/>
    <n v="3596569.52"/>
    <n v="3596569.52"/>
  </r>
  <r>
    <s v="Иркутская область"/>
    <x v="5"/>
    <x v="5"/>
    <x v="67"/>
    <n v="3364856.96"/>
    <n v="3364856.96"/>
    <n v="3364856.96"/>
  </r>
  <r>
    <s v="Иркутская область"/>
    <x v="5"/>
    <x v="5"/>
    <x v="68"/>
    <n v="2494586.44"/>
    <n v="2494586.44"/>
    <n v="2494586.44"/>
  </r>
  <r>
    <s v="Иркутская область"/>
    <x v="5"/>
    <x v="5"/>
    <x v="69"/>
    <n v="2201017.29"/>
    <n v="2201017.29"/>
    <n v="2201017.29"/>
  </r>
  <r>
    <s v="Иркутская область"/>
    <x v="5"/>
    <x v="5"/>
    <x v="70"/>
    <n v="1597520.08"/>
    <n v="1597520.08"/>
    <n v="1597520.08"/>
  </r>
  <r>
    <s v="Иркутская область"/>
    <x v="5"/>
    <x v="5"/>
    <x v="71"/>
    <n v="1037906.26"/>
    <n v="1037906.26"/>
    <n v="1037906.26"/>
  </r>
  <r>
    <s v="Иркутская область"/>
    <x v="5"/>
    <x v="5"/>
    <x v="72"/>
    <n v="988228.91"/>
    <n v="988228.91"/>
    <n v="988228.91"/>
  </r>
  <r>
    <s v="Иркутская область"/>
    <x v="5"/>
    <x v="5"/>
    <x v="73"/>
    <n v="869698.21"/>
    <n v="869698.21"/>
    <n v="869698.21"/>
  </r>
  <r>
    <s v="Иркутская область"/>
    <x v="5"/>
    <x v="5"/>
    <x v="54"/>
    <n v="867545.55"/>
    <n v="867545.55"/>
    <n v="867545.55"/>
  </r>
  <r>
    <s v="Иркутская область"/>
    <x v="5"/>
    <x v="5"/>
    <x v="74"/>
    <n v="840491.32"/>
    <n v="840491.32"/>
    <n v="840491.32"/>
  </r>
  <r>
    <s v="Иркутская область"/>
    <x v="5"/>
    <x v="5"/>
    <x v="75"/>
    <n v="828480.24"/>
    <n v="828480.24"/>
    <n v="828480.24"/>
  </r>
  <r>
    <s v="Иркутская область"/>
    <x v="5"/>
    <x v="5"/>
    <x v="76"/>
    <n v="824600.42"/>
    <n v="824600.42"/>
    <n v="824600.42"/>
  </r>
  <r>
    <s v="Иркутская область"/>
    <x v="5"/>
    <x v="5"/>
    <x v="77"/>
    <n v="823367.78"/>
    <n v="823367.78"/>
    <n v="823367.78"/>
  </r>
  <r>
    <s v="Иркутская область"/>
    <x v="5"/>
    <x v="5"/>
    <x v="78"/>
    <n v="678291.42"/>
    <n v="678291.42"/>
    <n v="678291.42"/>
  </r>
  <r>
    <s v="Иркутская область"/>
    <x v="5"/>
    <x v="5"/>
    <x v="79"/>
    <n v="616525.39"/>
    <n v="616525.39"/>
    <n v="616525.39"/>
  </r>
  <r>
    <s v="Иркутская область"/>
    <x v="5"/>
    <x v="5"/>
    <x v="80"/>
    <n v="586041.76"/>
    <n v="586041.76"/>
    <n v="586041.76"/>
  </r>
  <r>
    <s v="Иркутская область"/>
    <x v="5"/>
    <x v="5"/>
    <x v="81"/>
    <n v="534927.17000000004"/>
    <n v="534927.17000000004"/>
    <n v="534927.17000000004"/>
  </r>
  <r>
    <s v="Иркутская область"/>
    <x v="5"/>
    <x v="5"/>
    <x v="82"/>
    <n v="496759.67"/>
    <n v="496759.67"/>
    <n v="496759.67"/>
  </r>
  <r>
    <s v="Иркутская область"/>
    <x v="5"/>
    <x v="5"/>
    <x v="83"/>
    <n v="488557.41"/>
    <n v="488557.41"/>
    <n v="488557.41"/>
  </r>
  <r>
    <s v="Иркутская область"/>
    <x v="5"/>
    <x v="5"/>
    <x v="84"/>
    <n v="468545.04"/>
    <n v="468545.04"/>
    <n v="468545.04"/>
  </r>
  <r>
    <s v="Иркутская область"/>
    <x v="5"/>
    <x v="5"/>
    <x v="63"/>
    <n v="455359.09"/>
    <n v="455359.09"/>
    <n v="455359.09"/>
  </r>
  <r>
    <s v="Иркутская область"/>
    <x v="5"/>
    <x v="5"/>
    <x v="85"/>
    <n v="600804.68000000005"/>
    <n v="600804.68000000005"/>
    <n v="600804.68000000005"/>
  </r>
  <r>
    <s v="Иркутская область"/>
    <x v="5"/>
    <x v="5"/>
    <x v="86"/>
    <n v="402090.7"/>
    <n v="402090.7"/>
    <n v="402090.7"/>
  </r>
  <r>
    <s v="Иркутская область"/>
    <x v="5"/>
    <x v="5"/>
    <x v="87"/>
    <n v="396751.38"/>
    <n v="396751.38"/>
    <n v="396751.38"/>
  </r>
  <r>
    <s v="Иркутская область"/>
    <x v="5"/>
    <x v="5"/>
    <x v="88"/>
    <n v="387045.89"/>
    <n v="387045.89"/>
    <n v="387045.89"/>
  </r>
  <r>
    <s v="Иркутская область"/>
    <x v="5"/>
    <x v="5"/>
    <x v="89"/>
    <n v="371564.04"/>
    <n v="371564.04"/>
    <n v="371564.04"/>
  </r>
  <r>
    <s v="Иркутская область"/>
    <x v="5"/>
    <x v="5"/>
    <x v="90"/>
    <n v="316906.83"/>
    <n v="316906.83"/>
    <n v="316906.83"/>
  </r>
  <r>
    <s v="Иркутская область"/>
    <x v="5"/>
    <x v="5"/>
    <x v="91"/>
    <n v="315237.40000000002"/>
    <n v="315237.40000000002"/>
    <n v="315237.40000000002"/>
  </r>
  <r>
    <s v="Иркутская область"/>
    <x v="5"/>
    <x v="5"/>
    <x v="92"/>
    <n v="264552.73"/>
    <n v="264552.73"/>
    <n v="264552.73"/>
  </r>
  <r>
    <s v="Иркутская область"/>
    <x v="5"/>
    <x v="5"/>
    <x v="55"/>
    <n v="256899.26"/>
    <n v="256899.26"/>
    <n v="256899.26"/>
  </r>
  <r>
    <s v="Иркутская область"/>
    <x v="5"/>
    <x v="5"/>
    <x v="93"/>
    <n v="256397.21"/>
    <n v="256397.21"/>
    <n v="256397.21"/>
  </r>
  <r>
    <s v="Иркутская область"/>
    <x v="5"/>
    <x v="5"/>
    <x v="94"/>
    <n v="249867.61"/>
    <n v="249867.61"/>
    <n v="249867.61"/>
  </r>
  <r>
    <s v="Иркутская область"/>
    <x v="5"/>
    <x v="5"/>
    <x v="95"/>
    <n v="248120.17"/>
    <n v="248120.17"/>
    <n v="248120.17"/>
  </r>
  <r>
    <s v="Иркутская область"/>
    <x v="5"/>
    <x v="5"/>
    <x v="96"/>
    <n v="245305.71"/>
    <n v="245305.71"/>
    <n v="245305.71"/>
  </r>
  <r>
    <s v="Иркутская область"/>
    <x v="5"/>
    <x v="5"/>
    <x v="97"/>
    <n v="242367.67"/>
    <n v="242367.67"/>
    <n v="242367.67"/>
  </r>
  <r>
    <s v="Иркутская область"/>
    <x v="5"/>
    <x v="5"/>
    <x v="98"/>
    <n v="226195.62"/>
    <n v="226195.62"/>
    <n v="226195.62"/>
  </r>
  <r>
    <s v="Иркутская область"/>
    <x v="5"/>
    <x v="5"/>
    <x v="99"/>
    <n v="206436.62"/>
    <n v="206436.62"/>
    <n v="206436.62"/>
  </r>
  <r>
    <s v="Иркутская область"/>
    <x v="5"/>
    <x v="5"/>
    <x v="100"/>
    <n v="194935.16"/>
    <n v="194935.16"/>
    <n v="194935.16"/>
  </r>
  <r>
    <s v="Иркутская область"/>
    <x v="5"/>
    <x v="5"/>
    <x v="101"/>
    <n v="188172.65"/>
    <n v="188172.65"/>
    <n v="188172.65"/>
  </r>
  <r>
    <s v="Иркутская область"/>
    <x v="5"/>
    <x v="5"/>
    <x v="102"/>
    <n v="171983.94"/>
    <n v="171983.94"/>
    <n v="171983.94"/>
  </r>
  <r>
    <s v="Иркутская область"/>
    <x v="5"/>
    <x v="5"/>
    <x v="103"/>
    <n v="157140.5"/>
    <n v="157140.5"/>
    <n v="157140.5"/>
  </r>
  <r>
    <s v="Иркутская область"/>
    <x v="5"/>
    <x v="5"/>
    <x v="104"/>
    <n v="206670.79"/>
    <n v="206670.79"/>
    <n v="206670.79"/>
  </r>
  <r>
    <s v="Иркутская область"/>
    <x v="5"/>
    <x v="5"/>
    <x v="105"/>
    <n v="154544.73000000001"/>
    <n v="154544.73000000001"/>
    <n v="154544.73000000001"/>
  </r>
  <r>
    <s v="Иркутская область"/>
    <x v="5"/>
    <x v="5"/>
    <x v="106"/>
    <n v="148620.63"/>
    <n v="148620.63"/>
    <n v="148620.63"/>
  </r>
  <r>
    <s v="Иркутская область"/>
    <x v="5"/>
    <x v="5"/>
    <x v="107"/>
    <n v="146414.17000000001"/>
    <n v="146414.17000000001"/>
    <n v="146414.17000000001"/>
  </r>
  <r>
    <s v="Иркутская область"/>
    <x v="5"/>
    <x v="5"/>
    <x v="108"/>
    <n v="142890.43"/>
    <n v="142890.43"/>
    <n v="142890.43"/>
  </r>
  <r>
    <s v="Иркутская область"/>
    <x v="5"/>
    <x v="5"/>
    <x v="109"/>
    <n v="130577.64"/>
    <n v="130577.64"/>
    <n v="130577.64"/>
  </r>
  <r>
    <s v="Иркутская область"/>
    <x v="5"/>
    <x v="5"/>
    <x v="110"/>
    <n v="127462.03"/>
    <n v="127462.03"/>
    <n v="127462.03"/>
  </r>
  <r>
    <s v="Иркутская область"/>
    <x v="5"/>
    <x v="5"/>
    <x v="111"/>
    <n v="122803.87"/>
    <n v="122803.87"/>
    <n v="122803.87"/>
  </r>
  <r>
    <s v="Иркутская область"/>
    <x v="5"/>
    <x v="5"/>
    <x v="112"/>
    <n v="121097.71"/>
    <n v="121097.71"/>
    <n v="121097.71"/>
  </r>
  <r>
    <s v="Иркутская область"/>
    <x v="5"/>
    <x v="5"/>
    <x v="113"/>
    <n v="114479.96"/>
    <n v="114479.96"/>
    <n v="114479.96"/>
  </r>
  <r>
    <s v="Иркутская область"/>
    <x v="5"/>
    <x v="5"/>
    <x v="114"/>
    <n v="108573.9"/>
    <n v="108573.9"/>
    <n v="108573.9"/>
  </r>
  <r>
    <s v="Иркутская область"/>
    <x v="5"/>
    <x v="5"/>
    <x v="115"/>
    <n v="106695.27"/>
    <n v="106695.27"/>
    <n v="106695.27"/>
  </r>
  <r>
    <s v="Иркутская область"/>
    <x v="5"/>
    <x v="5"/>
    <x v="116"/>
    <n v="106473.95"/>
    <n v="106473.95"/>
    <n v="106473.95"/>
  </r>
  <r>
    <s v="Иркутская область"/>
    <x v="5"/>
    <x v="5"/>
    <x v="117"/>
    <n v="101632.58"/>
    <n v="101632.58"/>
    <n v="101632.58"/>
  </r>
  <r>
    <s v="Иркутская область"/>
    <x v="5"/>
    <x v="5"/>
    <x v="118"/>
    <n v="96854.8"/>
    <n v="96854.8"/>
    <n v="96854.8"/>
  </r>
  <r>
    <s v="Иркутская область"/>
    <x v="5"/>
    <x v="5"/>
    <x v="119"/>
    <n v="95665.4"/>
    <n v="95665.4"/>
    <n v="95665.4"/>
  </r>
  <r>
    <s v="Иркутская область"/>
    <x v="5"/>
    <x v="5"/>
    <x v="120"/>
    <n v="93727.71"/>
    <n v="93727.71"/>
    <n v="93727.71"/>
  </r>
  <r>
    <s v="Иркутская область"/>
    <x v="5"/>
    <x v="5"/>
    <x v="121"/>
    <n v="85755.33"/>
    <n v="85755.33"/>
    <n v="85755.33"/>
  </r>
  <r>
    <s v="Иркутская область"/>
    <x v="5"/>
    <x v="5"/>
    <x v="122"/>
    <n v="85317.8"/>
    <n v="85317.8"/>
    <n v="85317.8"/>
  </r>
  <r>
    <s v="Иркутская область"/>
    <x v="5"/>
    <x v="5"/>
    <x v="123"/>
    <n v="78797.7"/>
    <n v="78797.7"/>
    <n v="78797.7"/>
  </r>
  <r>
    <s v="Иркутская область"/>
    <x v="5"/>
    <x v="5"/>
    <x v="124"/>
    <n v="75792.02"/>
    <n v="75792.02"/>
    <n v="75792.02"/>
  </r>
  <r>
    <s v="Иркутская область"/>
    <x v="5"/>
    <x v="5"/>
    <x v="125"/>
    <n v="73753.95"/>
    <n v="73753.95"/>
    <n v="73753.95"/>
  </r>
  <r>
    <s v="Иркутская область"/>
    <x v="5"/>
    <x v="5"/>
    <x v="126"/>
    <n v="71421.740000000005"/>
    <n v="71421.740000000005"/>
    <n v="71421.740000000005"/>
  </r>
  <r>
    <s v="Иркутская область"/>
    <x v="5"/>
    <x v="5"/>
    <x v="127"/>
    <n v="68009.539999999994"/>
    <n v="68009.539999999994"/>
    <n v="68009.539999999994"/>
  </r>
  <r>
    <s v="Иркутская область"/>
    <x v="5"/>
    <x v="5"/>
    <x v="128"/>
    <n v="58438.81"/>
    <n v="58438.81"/>
    <n v="58438.81"/>
  </r>
  <r>
    <s v="Иркутская область"/>
    <x v="5"/>
    <x v="5"/>
    <x v="129"/>
    <n v="55225.8"/>
    <n v="55225.8"/>
    <n v="55225.8"/>
  </r>
  <r>
    <s v="Иркутская область"/>
    <x v="5"/>
    <x v="5"/>
    <x v="130"/>
    <n v="53940.33"/>
    <n v="53940.33"/>
    <n v="53940.33"/>
  </r>
  <r>
    <s v="Иркутская область"/>
    <x v="5"/>
    <x v="5"/>
    <x v="131"/>
    <n v="49184.74"/>
    <n v="49184.74"/>
    <n v="49184.74"/>
  </r>
  <r>
    <s v="Иркутская область"/>
    <x v="5"/>
    <x v="5"/>
    <x v="132"/>
    <n v="47694.37"/>
    <n v="47694.37"/>
    <n v="47694.37"/>
  </r>
  <r>
    <s v="Иркутская область"/>
    <x v="5"/>
    <x v="5"/>
    <x v="133"/>
    <n v="46124.18"/>
    <n v="46124.18"/>
    <n v="46124.18"/>
  </r>
  <r>
    <s v="Иркутская область"/>
    <x v="5"/>
    <x v="5"/>
    <x v="134"/>
    <n v="46080"/>
    <n v="46080"/>
    <n v="46080"/>
  </r>
  <r>
    <s v="Иркутская область"/>
    <x v="5"/>
    <x v="5"/>
    <x v="135"/>
    <n v="45462.55"/>
    <n v="45462.55"/>
    <n v="45462.55"/>
  </r>
  <r>
    <s v="Иркутская область"/>
    <x v="5"/>
    <x v="5"/>
    <x v="136"/>
    <n v="41256.78"/>
    <n v="41256.78"/>
    <n v="41256.78"/>
  </r>
  <r>
    <s v="Иркутская область"/>
    <x v="5"/>
    <x v="5"/>
    <x v="137"/>
    <n v="39617.519999999997"/>
    <n v="39617.519999999997"/>
    <n v="39617.519999999997"/>
  </r>
  <r>
    <s v="Иркутская область"/>
    <x v="5"/>
    <x v="5"/>
    <x v="138"/>
    <n v="25743.65"/>
    <n v="25743.65"/>
    <n v="25743.65"/>
  </r>
  <r>
    <s v="Иркутская область"/>
    <x v="5"/>
    <x v="5"/>
    <x v="139"/>
    <n v="20615.02"/>
    <n v="20615.02"/>
    <n v="20615.02"/>
  </r>
  <r>
    <s v="Иркутская область"/>
    <x v="5"/>
    <x v="5"/>
    <x v="140"/>
    <n v="20423.439999999999"/>
    <n v="20423.439999999999"/>
    <n v="20423.439999999999"/>
  </r>
  <r>
    <s v="Иркутская область"/>
    <x v="5"/>
    <x v="5"/>
    <x v="141"/>
    <n v="20404.669999999998"/>
    <n v="20404.669999999998"/>
    <n v="20404.669999999998"/>
  </r>
  <r>
    <s v="Иркутская область"/>
    <x v="5"/>
    <x v="5"/>
    <x v="142"/>
    <n v="19593.38"/>
    <n v="19593.38"/>
    <n v="19593.38"/>
  </r>
  <r>
    <s v="Иркутская область"/>
    <x v="5"/>
    <x v="5"/>
    <x v="143"/>
    <n v="19378.150000000001"/>
    <n v="19378.150000000001"/>
    <n v="19378.150000000001"/>
  </r>
  <r>
    <s v="Иркутская область"/>
    <x v="5"/>
    <x v="5"/>
    <x v="144"/>
    <n v="34341.730000000003"/>
    <n v="34341.730000000003"/>
    <n v="34341.730000000003"/>
  </r>
  <r>
    <s v="Иркутская область"/>
    <x v="5"/>
    <x v="5"/>
    <x v="145"/>
    <n v="38966.01"/>
    <n v="38966.01"/>
    <n v="38966.01"/>
  </r>
  <r>
    <s v="Иркутская область"/>
    <x v="5"/>
    <x v="5"/>
    <x v="146"/>
    <n v="31866.63"/>
    <n v="31866.63"/>
    <n v="31866.63"/>
  </r>
  <r>
    <s v="Иркутская область"/>
    <x v="5"/>
    <x v="5"/>
    <x v="147"/>
    <n v="31118.11"/>
    <n v="31118.11"/>
    <n v="31118.11"/>
  </r>
  <r>
    <s v="Иркутская область"/>
    <x v="5"/>
    <x v="5"/>
    <x v="59"/>
    <n v="29734.37"/>
    <n v="29734.37"/>
    <n v="29734.37"/>
  </r>
  <r>
    <s v="Иркутская область"/>
    <x v="5"/>
    <x v="5"/>
    <x v="148"/>
    <n v="19541.919999999998"/>
    <n v="19541.919999999998"/>
    <n v="19541.919999999998"/>
  </r>
  <r>
    <s v="Иркутская область"/>
    <x v="5"/>
    <x v="5"/>
    <x v="149"/>
    <n v="18640.97"/>
    <n v="18640.97"/>
    <n v="18640.97"/>
  </r>
  <r>
    <s v="Иркутская область"/>
    <x v="5"/>
    <x v="5"/>
    <x v="150"/>
    <n v="15438.47"/>
    <n v="15438.47"/>
    <n v="15438.47"/>
  </r>
  <r>
    <s v="Иркутская область"/>
    <x v="5"/>
    <x v="5"/>
    <x v="151"/>
    <n v="15378.33"/>
    <n v="15378.33"/>
    <n v="15378.33"/>
  </r>
  <r>
    <s v="Иркутская область"/>
    <x v="5"/>
    <x v="5"/>
    <x v="152"/>
    <n v="12882.35"/>
    <n v="12882.35"/>
    <n v="12882.35"/>
  </r>
  <r>
    <s v="Иркутская область"/>
    <x v="5"/>
    <x v="5"/>
    <x v="153"/>
    <n v="12779.4"/>
    <n v="12779.4"/>
    <n v="12779.4"/>
  </r>
  <r>
    <s v="Иркутская область"/>
    <x v="5"/>
    <x v="5"/>
    <x v="154"/>
    <n v="9969.6200000000008"/>
    <n v="9969.6200000000008"/>
    <n v="9969.6200000000008"/>
  </r>
  <r>
    <s v="Иркутская область"/>
    <x v="5"/>
    <x v="5"/>
    <x v="155"/>
    <n v="9380.34"/>
    <n v="9380.34"/>
    <n v="9380.34"/>
  </r>
  <r>
    <s v="Иркутская область"/>
    <x v="5"/>
    <x v="5"/>
    <x v="156"/>
    <n v="9133.35"/>
    <n v="9133.35"/>
    <n v="9133.35"/>
  </r>
  <r>
    <s v="Иркутская область"/>
    <x v="5"/>
    <x v="5"/>
    <x v="157"/>
    <n v="8909.7099999999991"/>
    <n v="8909.7099999999991"/>
    <n v="8909.7099999999991"/>
  </r>
  <r>
    <s v="Иркутская область"/>
    <x v="5"/>
    <x v="5"/>
    <x v="158"/>
    <n v="7935.96"/>
    <n v="7935.96"/>
    <n v="7935.96"/>
  </r>
  <r>
    <s v="Иркутская область"/>
    <x v="5"/>
    <x v="5"/>
    <x v="159"/>
    <n v="7884.05"/>
    <n v="7884.05"/>
    <n v="7884.05"/>
  </r>
  <r>
    <s v="Иркутская область"/>
    <x v="5"/>
    <x v="5"/>
    <x v="160"/>
    <n v="7656.13"/>
    <n v="7656.13"/>
    <n v="7656.13"/>
  </r>
  <r>
    <s v="Иркутская область"/>
    <x v="5"/>
    <x v="5"/>
    <x v="161"/>
    <n v="7585.93"/>
    <n v="7585.93"/>
    <n v="7585.93"/>
  </r>
  <r>
    <s v="Иркутская область"/>
    <x v="5"/>
    <x v="5"/>
    <x v="162"/>
    <n v="7037.97"/>
    <n v="7037.97"/>
    <n v="7037.97"/>
  </r>
  <r>
    <s v="Иркутская область"/>
    <x v="5"/>
    <x v="5"/>
    <x v="163"/>
    <n v="6879.57"/>
    <n v="6879.57"/>
    <n v="6879.57"/>
  </r>
  <r>
    <s v="Иркутская область"/>
    <x v="5"/>
    <x v="5"/>
    <x v="164"/>
    <n v="5964.38"/>
    <n v="5964.38"/>
    <n v="5964.38"/>
  </r>
  <r>
    <s v="Иркутская область"/>
    <x v="5"/>
    <x v="5"/>
    <x v="165"/>
    <n v="5954.81"/>
    <n v="5954.81"/>
    <n v="5954.81"/>
  </r>
  <r>
    <s v="Иркутская область"/>
    <x v="5"/>
    <x v="5"/>
    <x v="166"/>
    <n v="5514.33"/>
    <n v="5514.33"/>
    <n v="5514.33"/>
  </r>
  <r>
    <s v="Иркутская область"/>
    <x v="5"/>
    <x v="5"/>
    <x v="167"/>
    <n v="5189.49"/>
    <n v="5189.49"/>
    <n v="5189.49"/>
  </r>
  <r>
    <s v="Иркутская область"/>
    <x v="5"/>
    <x v="5"/>
    <x v="168"/>
    <n v="5131.6099999999997"/>
    <n v="5131.6099999999997"/>
    <n v="5131.6099999999997"/>
  </r>
  <r>
    <s v="Иркутская область"/>
    <x v="5"/>
    <x v="5"/>
    <x v="169"/>
    <n v="4882.29"/>
    <n v="4882.29"/>
    <n v="4882.29"/>
  </r>
  <r>
    <s v="Иркутская область"/>
    <x v="5"/>
    <x v="5"/>
    <x v="170"/>
    <n v="4728.32"/>
    <n v="4728.32"/>
    <n v="4728.32"/>
  </r>
  <r>
    <s v="Иркутская область"/>
    <x v="5"/>
    <x v="5"/>
    <x v="171"/>
    <n v="4465.29"/>
    <n v="4465.29"/>
    <n v="4465.29"/>
  </r>
  <r>
    <s v="Иркутская область"/>
    <x v="5"/>
    <x v="5"/>
    <x v="172"/>
    <n v="4011.62"/>
    <n v="4011.62"/>
    <n v="4011.62"/>
  </r>
  <r>
    <s v="Иркутская область"/>
    <x v="5"/>
    <x v="5"/>
    <x v="173"/>
    <n v="3237.62"/>
    <n v="3237.62"/>
    <n v="3237.62"/>
  </r>
  <r>
    <s v="Иркутская область"/>
    <x v="5"/>
    <x v="5"/>
    <x v="174"/>
    <n v="3194.83"/>
    <n v="3194.83"/>
    <n v="3194.83"/>
  </r>
  <r>
    <s v="Иркутская область"/>
    <x v="5"/>
    <x v="5"/>
    <x v="175"/>
    <n v="3057.83"/>
    <n v="3057.83"/>
    <n v="3057.83"/>
  </r>
  <r>
    <s v="Иркутская область"/>
    <x v="5"/>
    <x v="5"/>
    <x v="176"/>
    <n v="2997.22"/>
    <n v="2997.22"/>
    <n v="2997.22"/>
  </r>
  <r>
    <s v="Иркутская область"/>
    <x v="5"/>
    <x v="5"/>
    <x v="177"/>
    <n v="2826.5"/>
    <n v="2826.5"/>
    <n v="2826.5"/>
  </r>
  <r>
    <s v="Иркутская область"/>
    <x v="5"/>
    <x v="5"/>
    <x v="178"/>
    <n v="2321.5100000000002"/>
    <n v="2321.5100000000002"/>
    <n v="2321.5100000000002"/>
  </r>
  <r>
    <s v="Иркутская область"/>
    <x v="5"/>
    <x v="5"/>
    <x v="179"/>
    <n v="2092.1799999999998"/>
    <n v="2092.1799999999998"/>
    <n v="2092.1799999999998"/>
  </r>
  <r>
    <s v="Иркутская область"/>
    <x v="5"/>
    <x v="5"/>
    <x v="180"/>
    <n v="1838.11"/>
    <n v="1838.11"/>
    <n v="1838.11"/>
  </r>
  <r>
    <s v="Иркутская область"/>
    <x v="5"/>
    <x v="5"/>
    <x v="181"/>
    <n v="1014.06"/>
    <n v="1014.06"/>
    <n v="1014.06"/>
  </r>
  <r>
    <s v="Иркутская область"/>
    <x v="5"/>
    <x v="5"/>
    <x v="182"/>
    <n v="444.43"/>
    <n v="444.43"/>
    <n v="444.43"/>
  </r>
  <r>
    <s v="Иркутская область"/>
    <x v="5"/>
    <x v="4"/>
    <x v="63"/>
    <n v="31070411.460000001"/>
    <n v="31070411.460000001"/>
    <n v="31070411.460000001"/>
  </r>
  <r>
    <s v="Иркутская область"/>
    <x v="5"/>
    <x v="4"/>
    <x v="183"/>
    <n v="3322032.9"/>
    <n v="3322032.9"/>
    <n v="3322032.9"/>
  </r>
  <r>
    <s v="Иркутская область"/>
    <x v="5"/>
    <x v="3"/>
    <x v="184"/>
    <n v="10010366.17"/>
    <n v="10010366.17"/>
    <n v="10010366.17"/>
  </r>
  <r>
    <s v="Иркутская область"/>
    <x v="5"/>
    <x v="3"/>
    <x v="70"/>
    <n v="4730429.6399999997"/>
    <n v="4730429.6399999997"/>
    <n v="4730429.6399999997"/>
  </r>
  <r>
    <s v="Иркутская область"/>
    <x v="5"/>
    <x v="3"/>
    <x v="185"/>
    <n v="4099090.05"/>
    <n v="4099090.05"/>
    <n v="4099090.05"/>
  </r>
  <r>
    <s v="Иркутская область"/>
    <x v="5"/>
    <x v="3"/>
    <x v="186"/>
    <n v="939479.78"/>
    <n v="939479.78"/>
    <n v="939479.78"/>
  </r>
  <r>
    <s v="Иркутская область"/>
    <x v="5"/>
    <x v="9"/>
    <x v="62"/>
    <n v="18126232.800000001"/>
    <n v="18126232.800000001"/>
    <n v="18126232.800000001"/>
  </r>
  <r>
    <s v="Иркутская область"/>
    <x v="5"/>
    <x v="9"/>
    <x v="65"/>
    <n v="500000"/>
    <n v="500000"/>
    <n v="500000"/>
  </r>
  <r>
    <s v="Иркутская область"/>
    <x v="5"/>
    <x v="7"/>
    <x v="187"/>
    <n v="7255568.71"/>
    <n v="7255568.71"/>
    <n v="7255568.71"/>
  </r>
  <r>
    <s v="Иркутская область"/>
    <x v="5"/>
    <x v="7"/>
    <x v="188"/>
    <n v="5240053.79"/>
    <n v="5240053.79"/>
    <n v="5240053.79"/>
  </r>
  <r>
    <s v="Иркутская область"/>
    <x v="5"/>
    <x v="7"/>
    <x v="54"/>
    <n v="2997060.5"/>
    <n v="2997060.5"/>
    <n v="2997060.5"/>
  </r>
  <r>
    <s v="Иркутская область"/>
    <x v="5"/>
    <x v="7"/>
    <x v="189"/>
    <n v="1191425.02"/>
    <n v="1191425.02"/>
    <n v="1191425.02"/>
  </r>
  <r>
    <s v="Иркутская область"/>
    <x v="5"/>
    <x v="16"/>
    <x v="61"/>
    <n v="16084263"/>
    <n v="16084263"/>
    <n v="16084263"/>
  </r>
  <r>
    <s v="Иркутская область"/>
    <x v="5"/>
    <x v="6"/>
    <x v="190"/>
    <n v="4835000"/>
    <n v="4835000"/>
    <n v="4835000"/>
  </r>
  <r>
    <s v="Иркутская область"/>
    <x v="5"/>
    <x v="6"/>
    <x v="191"/>
    <n v="3031503.49"/>
    <n v="3031503.49"/>
    <n v="3031503.49"/>
  </r>
  <r>
    <s v="Иркутская область"/>
    <x v="5"/>
    <x v="6"/>
    <x v="192"/>
    <n v="3031000"/>
    <n v="3031000"/>
    <n v="3031000"/>
  </r>
  <r>
    <s v="Иркутская область"/>
    <x v="5"/>
    <x v="6"/>
    <x v="60"/>
    <n v="1422767.8"/>
    <n v="1422767.8"/>
    <n v="1422767.8"/>
  </r>
  <r>
    <s v="Иркутская область"/>
    <x v="5"/>
    <x v="6"/>
    <x v="193"/>
    <n v="965532.4"/>
    <n v="965532.4"/>
    <n v="965532.4"/>
  </r>
  <r>
    <s v="Иркутская область"/>
    <x v="5"/>
    <x v="6"/>
    <x v="194"/>
    <n v="725000"/>
    <n v="725000"/>
    <n v="725000"/>
  </r>
  <r>
    <s v="Иркутская область"/>
    <x v="5"/>
    <x v="6"/>
    <x v="195"/>
    <n v="456000"/>
    <n v="456000"/>
    <n v="456000"/>
  </r>
  <r>
    <s v="Иркутская область"/>
    <x v="5"/>
    <x v="6"/>
    <x v="196"/>
    <n v="335000"/>
    <n v="335000"/>
    <n v="335000"/>
  </r>
  <r>
    <s v="Иркутская область"/>
    <x v="5"/>
    <x v="6"/>
    <x v="197"/>
    <n v="189200"/>
    <n v="189200"/>
    <n v="189200"/>
  </r>
  <r>
    <s v="Иркутская область"/>
    <x v="5"/>
    <x v="6"/>
    <x v="198"/>
    <n v="152726.64000000001"/>
    <n v="152726.64000000001"/>
    <n v="152726.64000000001"/>
  </r>
  <r>
    <s v="Иркутская область"/>
    <x v="5"/>
    <x v="6"/>
    <x v="199"/>
    <n v="95122.89"/>
    <n v="95122.89"/>
    <n v="95122.89"/>
  </r>
  <r>
    <s v="Иркутская область"/>
    <x v="5"/>
    <x v="6"/>
    <x v="200"/>
    <n v="50839.73"/>
    <n v="50839.73"/>
    <n v="50839.73"/>
  </r>
  <r>
    <s v="Иркутская область"/>
    <x v="5"/>
    <x v="8"/>
    <x v="201"/>
    <n v="5288046.9800000004"/>
    <n v="5288046.9800000004"/>
    <n v="5288046.9800000004"/>
  </r>
  <r>
    <s v="Иркутская область"/>
    <x v="5"/>
    <x v="8"/>
    <x v="202"/>
    <n v="5096167.58"/>
    <n v="5096167.58"/>
    <n v="5096167.58"/>
  </r>
  <r>
    <s v="Иркутская область"/>
    <x v="5"/>
    <x v="8"/>
    <x v="203"/>
    <n v="2154"/>
    <n v="2154"/>
    <n v="2154"/>
  </r>
  <r>
    <s v="Иркутская область"/>
    <x v="5"/>
    <x v="19"/>
    <x v="204"/>
    <n v="8908261.75"/>
    <n v="8908261.75"/>
    <n v="8908261.75"/>
  </r>
  <r>
    <s v="Иркутская область"/>
    <x v="5"/>
    <x v="1"/>
    <x v="205"/>
    <n v="3486650.26"/>
    <n v="3486650.26"/>
    <n v="3486650.26"/>
  </r>
  <r>
    <s v="Иркутская область"/>
    <x v="5"/>
    <x v="1"/>
    <x v="206"/>
    <n v="755850"/>
    <n v="755850"/>
    <n v="755850"/>
  </r>
  <r>
    <s v="Иркутская область"/>
    <x v="5"/>
    <x v="1"/>
    <x v="207"/>
    <n v="176236.32"/>
    <n v="176236.32"/>
    <n v="176236.32"/>
  </r>
  <r>
    <s v="Иркутская область"/>
    <x v="5"/>
    <x v="1"/>
    <x v="208"/>
    <n v="43013.38"/>
    <n v="43013.38"/>
    <n v="43013.38"/>
  </r>
  <r>
    <s v="Иркутская область"/>
    <x v="5"/>
    <x v="15"/>
    <x v="209"/>
    <n v="1830149.1"/>
    <n v="1830149.1"/>
    <n v="1830149.1"/>
  </r>
  <r>
    <s v="Иркутская область"/>
    <x v="5"/>
    <x v="15"/>
    <x v="53"/>
    <n v="978710.68"/>
    <n v="978710.68"/>
    <n v="978710.68"/>
  </r>
  <r>
    <s v="Иркутская область"/>
    <x v="5"/>
    <x v="15"/>
    <x v="210"/>
    <n v="282917"/>
    <n v="282917"/>
    <n v="282917"/>
  </r>
  <r>
    <s v="Иркутская область"/>
    <x v="5"/>
    <x v="15"/>
    <x v="211"/>
    <n v="243374.11"/>
    <n v="243374.11"/>
    <n v="243374.11"/>
  </r>
  <r>
    <s v="Иркутская область"/>
    <x v="5"/>
    <x v="15"/>
    <x v="212"/>
    <n v="207380"/>
    <n v="207380"/>
    <n v="207380"/>
  </r>
  <r>
    <s v="Иркутская область"/>
    <x v="5"/>
    <x v="15"/>
    <x v="213"/>
    <n v="69723"/>
    <n v="69723"/>
    <n v="69723"/>
  </r>
  <r>
    <s v="Иркутская область"/>
    <x v="5"/>
    <x v="15"/>
    <x v="214"/>
    <n v="15898"/>
    <n v="15898"/>
    <n v="15898"/>
  </r>
  <r>
    <s v="Иркутская область"/>
    <x v="5"/>
    <x v="12"/>
    <x v="80"/>
    <n v="3224616.72"/>
    <n v="3224616.72"/>
    <n v="3224616.72"/>
  </r>
  <r>
    <s v="Иркутская область"/>
    <x v="5"/>
    <x v="13"/>
    <x v="66"/>
    <n v="1105068.1200000001"/>
    <n v="1105068.1200000001"/>
    <n v="1105068.1200000001"/>
  </r>
  <r>
    <s v="Иркутская область"/>
    <x v="5"/>
    <x v="13"/>
    <x v="215"/>
    <n v="66195"/>
    <n v="66195"/>
    <n v="66195"/>
  </r>
  <r>
    <s v="Иркутская область"/>
    <x v="5"/>
    <x v="13"/>
    <x v="216"/>
    <n v="34127.4"/>
    <n v="34127.4"/>
    <n v="34127.4"/>
  </r>
  <r>
    <s v="Иркутская область"/>
    <x v="5"/>
    <x v="13"/>
    <x v="217"/>
    <n v="32670"/>
    <n v="32670"/>
    <n v="32670"/>
  </r>
  <r>
    <s v="Иркутская область"/>
    <x v="5"/>
    <x v="13"/>
    <x v="60"/>
    <n v="13464.96"/>
    <n v="13464.96"/>
    <n v="13464.96"/>
  </r>
  <r>
    <s v="Иркутская область"/>
    <x v="5"/>
    <x v="14"/>
    <x v="188"/>
    <n v="1073815.6399999999"/>
    <n v="1073815.6399999999"/>
    <n v="1073815.6399999999"/>
  </r>
  <r>
    <s v="Иркутская область"/>
    <x v="5"/>
    <x v="14"/>
    <x v="179"/>
    <n v="3000"/>
    <n v="3000"/>
    <n v="3000"/>
  </r>
  <r>
    <s v="Иркутская область"/>
    <x v="5"/>
    <x v="10"/>
    <x v="60"/>
    <n v="341655.05"/>
    <n v="341655.05"/>
    <n v="341655.05"/>
  </r>
  <r>
    <s v="Иркутская область"/>
    <x v="5"/>
    <x v="20"/>
    <x v="218"/>
    <n v="303825"/>
    <n v="303825"/>
    <n v="303825"/>
  </r>
  <r>
    <s v="Иркутская область"/>
    <x v="5"/>
    <x v="20"/>
    <x v="219"/>
    <n v="7682"/>
    <n v="7682"/>
    <n v="7682"/>
  </r>
  <r>
    <s v="Иркутская область"/>
    <x v="5"/>
    <x v="21"/>
    <x v="220"/>
    <n v="24122.7"/>
    <n v="24122.7"/>
    <n v="24122.7"/>
  </r>
  <r>
    <s v="Камчатский край"/>
    <x v="6"/>
    <x v="9"/>
    <x v="221"/>
    <n v="33484592"/>
    <n v="33484592"/>
    <n v="33484592"/>
  </r>
  <r>
    <s v="Камчатский край"/>
    <x v="6"/>
    <x v="5"/>
    <x v="222"/>
    <n v="23882063.370000001"/>
    <n v="23882063.370000001"/>
    <n v="23882063.370000001"/>
  </r>
  <r>
    <s v="Камчатский край"/>
    <x v="6"/>
    <x v="5"/>
    <x v="223"/>
    <n v="2876902.15"/>
    <n v="2876902.15"/>
    <n v="2876902.15"/>
  </r>
  <r>
    <s v="Камчатский край"/>
    <x v="6"/>
    <x v="5"/>
    <x v="224"/>
    <n v="103227.02"/>
    <n v="103227.02"/>
    <n v="103227.02"/>
  </r>
  <r>
    <s v="Камчатский край"/>
    <x v="6"/>
    <x v="18"/>
    <x v="225"/>
    <n v="26130864.670000002"/>
    <n v="26130864.670000002"/>
    <n v="26130864.670000002"/>
  </r>
  <r>
    <s v="Камчатский край"/>
    <x v="6"/>
    <x v="4"/>
    <x v="226"/>
    <n v="10667915.52"/>
    <n v="10667915.52"/>
    <n v="10667915.52"/>
  </r>
  <r>
    <s v="Камчатский край"/>
    <x v="6"/>
    <x v="4"/>
    <x v="222"/>
    <n v="9575366.5500000007"/>
    <n v="9575366.5500000007"/>
    <n v="9575366.5500000007"/>
  </r>
  <r>
    <s v="Камчатский край"/>
    <x v="6"/>
    <x v="4"/>
    <x v="227"/>
    <n v="2055374.4"/>
    <n v="2055374.4"/>
    <n v="2055374.4"/>
  </r>
  <r>
    <s v="Камчатский край"/>
    <x v="6"/>
    <x v="4"/>
    <x v="228"/>
    <n v="278264"/>
    <n v="278264"/>
    <n v="278264"/>
  </r>
  <r>
    <s v="Камчатский край"/>
    <x v="6"/>
    <x v="7"/>
    <x v="222"/>
    <n v="2715549.6"/>
    <n v="2715549.6"/>
    <n v="2715549.6"/>
  </r>
  <r>
    <s v="Камчатский край"/>
    <x v="6"/>
    <x v="7"/>
    <x v="229"/>
    <n v="2081079.72"/>
    <n v="2081079.72"/>
    <n v="2081079.72"/>
  </r>
  <r>
    <s v="Камчатский край"/>
    <x v="6"/>
    <x v="6"/>
    <x v="230"/>
    <n v="4494757.74"/>
    <n v="4494757.74"/>
    <n v="4494757.74"/>
  </r>
  <r>
    <s v="Камчатский край"/>
    <x v="6"/>
    <x v="22"/>
    <x v="222"/>
    <n v="2224429"/>
    <n v="2224429"/>
    <n v="2224429"/>
  </r>
  <r>
    <s v="Камчатский край"/>
    <x v="6"/>
    <x v="1"/>
    <x v="231"/>
    <n v="1989410.97"/>
    <n v="1989410.97"/>
    <n v="1989410.97"/>
  </r>
  <r>
    <s v="Камчатский край"/>
    <x v="6"/>
    <x v="14"/>
    <x v="232"/>
    <n v="1769308.03"/>
    <n v="1769308.03"/>
    <n v="1769308.03"/>
  </r>
  <r>
    <s v="Камчатский край"/>
    <x v="6"/>
    <x v="13"/>
    <x v="233"/>
    <n v="1337115.6000000001"/>
    <n v="1337115.6000000001"/>
    <n v="1337115.6000000001"/>
  </r>
  <r>
    <s v="Камчатский край"/>
    <x v="6"/>
    <x v="13"/>
    <x v="234"/>
    <n v="110136.55"/>
    <n v="110136.55"/>
    <n v="110136.55"/>
  </r>
  <r>
    <s v="Камчатский край"/>
    <x v="6"/>
    <x v="13"/>
    <x v="235"/>
    <n v="107518.96"/>
    <n v="107518.96"/>
    <n v="107518.96"/>
  </r>
  <r>
    <s v="Камчатский край"/>
    <x v="6"/>
    <x v="23"/>
    <x v="222"/>
    <n v="402904.4"/>
    <n v="402904.4"/>
    <n v="402904.4"/>
  </r>
  <r>
    <s v="Камчатский край"/>
    <x v="6"/>
    <x v="3"/>
    <x v="229"/>
    <n v="341348.6"/>
    <n v="341348.6"/>
    <n v="341348.6"/>
  </r>
  <r>
    <s v="Камчатский край"/>
    <x v="6"/>
    <x v="24"/>
    <x v="236"/>
    <n v="134000"/>
    <n v="134000"/>
    <n v="134000"/>
  </r>
  <r>
    <s v="Камчатский край"/>
    <x v="6"/>
    <x v="15"/>
    <x v="237"/>
    <n v="36660"/>
    <n v="36660"/>
    <n v="36660"/>
  </r>
  <r>
    <s v="Красноярский край"/>
    <x v="1"/>
    <x v="6"/>
    <x v="238"/>
    <n v="396125198.44999999"/>
    <n v="396125198.44999999"/>
    <n v="396125198.44999999"/>
  </r>
  <r>
    <s v="Красноярский край"/>
    <x v="1"/>
    <x v="6"/>
    <x v="239"/>
    <n v="10979540"/>
    <n v="10979540"/>
    <n v="10979540"/>
  </r>
  <r>
    <s v="Красноярский край"/>
    <x v="1"/>
    <x v="6"/>
    <x v="240"/>
    <n v="4633555.29"/>
    <n v="4633555.29"/>
    <n v="4633555.29"/>
  </r>
  <r>
    <s v="Красноярский край"/>
    <x v="1"/>
    <x v="6"/>
    <x v="241"/>
    <n v="4079198.39"/>
    <n v="4079198.39"/>
    <n v="4079198.39"/>
  </r>
  <r>
    <s v="Красноярский край"/>
    <x v="1"/>
    <x v="6"/>
    <x v="242"/>
    <n v="3294696.73"/>
    <n v="3294696.73"/>
    <n v="3294696.73"/>
  </r>
  <r>
    <s v="Красноярский край"/>
    <x v="1"/>
    <x v="6"/>
    <x v="243"/>
    <n v="2365625"/>
    <n v="2365625"/>
    <n v="2365625"/>
  </r>
  <r>
    <s v="Красноярский край"/>
    <x v="1"/>
    <x v="6"/>
    <x v="244"/>
    <n v="729145.9"/>
    <n v="729145.9"/>
    <n v="729145.9"/>
  </r>
  <r>
    <s v="Красноярский край"/>
    <x v="1"/>
    <x v="6"/>
    <x v="245"/>
    <n v="599360.4"/>
    <n v="599360.4"/>
    <n v="599360.4"/>
  </r>
  <r>
    <s v="Красноярский край"/>
    <x v="1"/>
    <x v="6"/>
    <x v="246"/>
    <n v="113805.6"/>
    <n v="113805.6"/>
    <n v="113805.6"/>
  </r>
  <r>
    <s v="Красноярский край"/>
    <x v="1"/>
    <x v="5"/>
    <x v="247"/>
    <n v="77376437.760000005"/>
    <n v="77376437.760000005"/>
    <n v="77376437.760000005"/>
  </r>
  <r>
    <s v="Красноярский край"/>
    <x v="1"/>
    <x v="5"/>
    <x v="241"/>
    <n v="13458355.59"/>
    <n v="13458355.59"/>
    <n v="13458355.59"/>
  </r>
  <r>
    <s v="Красноярский край"/>
    <x v="1"/>
    <x v="5"/>
    <x v="248"/>
    <n v="6911900.8399999999"/>
    <n v="6911900.8399999999"/>
    <n v="6911900.8399999999"/>
  </r>
  <r>
    <s v="Красноярский край"/>
    <x v="1"/>
    <x v="5"/>
    <x v="249"/>
    <n v="5486727.4299999997"/>
    <n v="5486727.4299999997"/>
    <n v="5486727.4299999997"/>
  </r>
  <r>
    <s v="Красноярский край"/>
    <x v="1"/>
    <x v="5"/>
    <x v="250"/>
    <n v="4950294.8099999996"/>
    <n v="4950294.8099999996"/>
    <n v="4950294.8099999996"/>
  </r>
  <r>
    <s v="Красноярский край"/>
    <x v="1"/>
    <x v="5"/>
    <x v="251"/>
    <n v="3623071.47"/>
    <n v="3623071.47"/>
    <n v="3623071.47"/>
  </r>
  <r>
    <s v="Красноярский край"/>
    <x v="1"/>
    <x v="5"/>
    <x v="252"/>
    <n v="169061.4"/>
    <n v="169061.4"/>
    <n v="169061.4"/>
  </r>
  <r>
    <s v="Красноярский край"/>
    <x v="1"/>
    <x v="5"/>
    <x v="253"/>
    <n v="137772.53"/>
    <n v="137772.53"/>
    <n v="137772.53"/>
  </r>
  <r>
    <s v="Красноярский край"/>
    <x v="1"/>
    <x v="5"/>
    <x v="254"/>
    <n v="77867.710000000006"/>
    <n v="77867.710000000006"/>
    <n v="77867.710000000006"/>
  </r>
  <r>
    <s v="Красноярский край"/>
    <x v="1"/>
    <x v="5"/>
    <x v="255"/>
    <n v="50875.42"/>
    <n v="50875.42"/>
    <n v="50875.42"/>
  </r>
  <r>
    <s v="Красноярский край"/>
    <x v="1"/>
    <x v="4"/>
    <x v="256"/>
    <n v="27128850.48"/>
    <n v="27128850.48"/>
    <n v="27128850.48"/>
  </r>
  <r>
    <s v="Красноярский край"/>
    <x v="1"/>
    <x v="4"/>
    <x v="257"/>
    <n v="6392382.9800000004"/>
    <n v="6392382.9800000004"/>
    <n v="6392382.9800000004"/>
  </r>
  <r>
    <s v="Красноярский край"/>
    <x v="1"/>
    <x v="4"/>
    <x v="240"/>
    <n v="5980243.4400000004"/>
    <n v="5980243.4400000004"/>
    <n v="5980243.4400000004"/>
  </r>
  <r>
    <s v="Красноярский край"/>
    <x v="1"/>
    <x v="4"/>
    <x v="258"/>
    <n v="2904165.48"/>
    <n v="2904165.48"/>
    <n v="2904165.48"/>
  </r>
  <r>
    <s v="Красноярский край"/>
    <x v="1"/>
    <x v="4"/>
    <x v="259"/>
    <n v="2065762.16"/>
    <n v="2065762.16"/>
    <n v="2065762.16"/>
  </r>
  <r>
    <s v="Красноярский край"/>
    <x v="1"/>
    <x v="4"/>
    <x v="260"/>
    <n v="1039240.6"/>
    <n v="1039240.6"/>
    <n v="1039240.6"/>
  </r>
  <r>
    <s v="Красноярский край"/>
    <x v="1"/>
    <x v="4"/>
    <x v="261"/>
    <n v="848013.55"/>
    <n v="848013.55"/>
    <n v="848013.55"/>
  </r>
  <r>
    <s v="Красноярский край"/>
    <x v="1"/>
    <x v="4"/>
    <x v="242"/>
    <n v="576642.88"/>
    <n v="576642.88"/>
    <n v="576642.88"/>
  </r>
  <r>
    <s v="Красноярский край"/>
    <x v="1"/>
    <x v="4"/>
    <x v="262"/>
    <n v="418669.04"/>
    <n v="418669.04"/>
    <n v="418669.04"/>
  </r>
  <r>
    <s v="Красноярский край"/>
    <x v="1"/>
    <x v="18"/>
    <x v="256"/>
    <n v="18998272.719999999"/>
    <n v="18998272.719999999"/>
    <n v="18998272.719999999"/>
  </r>
  <r>
    <s v="Красноярский край"/>
    <x v="1"/>
    <x v="18"/>
    <x v="263"/>
    <n v="15181294.1"/>
    <n v="15181294.1"/>
    <n v="15181294.1"/>
  </r>
  <r>
    <s v="Красноярский край"/>
    <x v="1"/>
    <x v="18"/>
    <x v="257"/>
    <n v="14357877.99"/>
    <n v="14357877.99"/>
    <n v="14357877.99"/>
  </r>
  <r>
    <s v="Красноярский край"/>
    <x v="1"/>
    <x v="25"/>
    <x v="264"/>
    <n v="19719806.399999999"/>
    <n v="19719806.399999999"/>
    <n v="19719806.399999999"/>
  </r>
  <r>
    <s v="Красноярский край"/>
    <x v="1"/>
    <x v="25"/>
    <x v="265"/>
    <n v="6941959.7999999998"/>
    <n v="6941959.7999999998"/>
    <n v="6941959.7999999998"/>
  </r>
  <r>
    <s v="Красноярский край"/>
    <x v="1"/>
    <x v="25"/>
    <x v="266"/>
    <n v="1142542.8"/>
    <n v="1142542.8"/>
    <n v="1142542.8"/>
  </r>
  <r>
    <s v="Красноярский край"/>
    <x v="1"/>
    <x v="25"/>
    <x v="267"/>
    <n v="34334.76"/>
    <n v="34334.76"/>
    <n v="34334.76"/>
  </r>
  <r>
    <s v="Красноярский край"/>
    <x v="1"/>
    <x v="9"/>
    <x v="263"/>
    <n v="20039197.800000001"/>
    <n v="20039197.800000001"/>
    <n v="20039197.800000001"/>
  </r>
  <r>
    <s v="Красноярский край"/>
    <x v="1"/>
    <x v="9"/>
    <x v="268"/>
    <n v="3721296.9"/>
    <n v="3721296.9"/>
    <n v="3721296.9"/>
  </r>
  <r>
    <s v="Красноярский край"/>
    <x v="1"/>
    <x v="8"/>
    <x v="247"/>
    <n v="8359955.4400000004"/>
    <n v="8359955.4400000004"/>
    <n v="8359955.4400000004"/>
  </r>
  <r>
    <s v="Красноярский край"/>
    <x v="1"/>
    <x v="8"/>
    <x v="269"/>
    <n v="8095908.7000000002"/>
    <n v="8095908.7000000002"/>
    <n v="8095908.7000000002"/>
  </r>
  <r>
    <s v="Красноярский край"/>
    <x v="1"/>
    <x v="8"/>
    <x v="259"/>
    <n v="3615023.27"/>
    <n v="3615023.27"/>
    <n v="3615023.27"/>
  </r>
  <r>
    <s v="Красноярский край"/>
    <x v="1"/>
    <x v="8"/>
    <x v="270"/>
    <n v="151746.64000000001"/>
    <n v="151746.64000000001"/>
    <n v="151746.64000000001"/>
  </r>
  <r>
    <s v="Красноярский край"/>
    <x v="1"/>
    <x v="2"/>
    <x v="256"/>
    <n v="11986558.1"/>
    <n v="11986558.1"/>
    <n v="11986558.1"/>
  </r>
  <r>
    <s v="Красноярский край"/>
    <x v="1"/>
    <x v="2"/>
    <x v="271"/>
    <n v="3129516"/>
    <n v="3129516"/>
    <n v="3129516"/>
  </r>
  <r>
    <s v="Красноярский край"/>
    <x v="1"/>
    <x v="2"/>
    <x v="272"/>
    <n v="3014799"/>
    <n v="3014799"/>
    <n v="3014799"/>
  </r>
  <r>
    <s v="Красноярский край"/>
    <x v="1"/>
    <x v="3"/>
    <x v="273"/>
    <n v="8654454.2699999996"/>
    <n v="8654454.2699999996"/>
    <n v="8654454.2699999996"/>
  </r>
  <r>
    <s v="Красноярский край"/>
    <x v="1"/>
    <x v="3"/>
    <x v="260"/>
    <n v="6489289.9100000001"/>
    <n v="6489289.9100000001"/>
    <n v="6489289.9100000001"/>
  </r>
  <r>
    <s v="Красноярский край"/>
    <x v="1"/>
    <x v="15"/>
    <x v="274"/>
    <n v="9832432.5"/>
    <n v="9832432.5"/>
    <n v="9832432.5"/>
  </r>
  <r>
    <s v="Красноярский край"/>
    <x v="1"/>
    <x v="15"/>
    <x v="275"/>
    <n v="2450250"/>
    <n v="2450250"/>
    <n v="2450250"/>
  </r>
  <r>
    <s v="Красноярский край"/>
    <x v="1"/>
    <x v="15"/>
    <x v="250"/>
    <n v="959018.1"/>
    <n v="959018.1"/>
    <n v="959018.1"/>
  </r>
  <r>
    <s v="Красноярский край"/>
    <x v="1"/>
    <x v="15"/>
    <x v="263"/>
    <n v="877229.92"/>
    <n v="877229.92"/>
    <n v="877229.92"/>
  </r>
  <r>
    <s v="Красноярский край"/>
    <x v="1"/>
    <x v="15"/>
    <x v="276"/>
    <n v="173558.5"/>
    <n v="173558.5"/>
    <n v="173558.5"/>
  </r>
  <r>
    <s v="Красноярский край"/>
    <x v="1"/>
    <x v="15"/>
    <x v="277"/>
    <n v="27952"/>
    <n v="27952"/>
    <n v="27952"/>
  </r>
  <r>
    <s v="Красноярский край"/>
    <x v="1"/>
    <x v="15"/>
    <x v="278"/>
    <n v="39373"/>
    <n v="39373"/>
    <n v="39373"/>
  </r>
  <r>
    <s v="Красноярский край"/>
    <x v="1"/>
    <x v="16"/>
    <x v="279"/>
    <n v="7988235"/>
    <n v="7988235"/>
    <n v="7988235"/>
  </r>
  <r>
    <s v="Красноярский край"/>
    <x v="1"/>
    <x v="16"/>
    <x v="256"/>
    <n v="4773126"/>
    <n v="4773126"/>
    <n v="4773126"/>
  </r>
  <r>
    <s v="Красноярский край"/>
    <x v="1"/>
    <x v="19"/>
    <x v="280"/>
    <n v="3503000"/>
    <n v="3503000"/>
    <n v="3503000"/>
  </r>
  <r>
    <s v="Красноярский край"/>
    <x v="1"/>
    <x v="19"/>
    <x v="281"/>
    <n v="2520340"/>
    <n v="2520340"/>
    <n v="2520340"/>
  </r>
  <r>
    <s v="Красноярский край"/>
    <x v="1"/>
    <x v="19"/>
    <x v="259"/>
    <n v="1265900"/>
    <n v="1265900"/>
    <n v="1265900"/>
  </r>
  <r>
    <s v="Красноярский край"/>
    <x v="1"/>
    <x v="19"/>
    <x v="263"/>
    <n v="76800"/>
    <n v="76800"/>
    <n v="76800"/>
  </r>
  <r>
    <s v="Красноярский край"/>
    <x v="1"/>
    <x v="20"/>
    <x v="260"/>
    <n v="6582641.5999999996"/>
    <n v="6582641.5999999996"/>
    <n v="6582641.5999999996"/>
  </r>
  <r>
    <s v="Красноярский край"/>
    <x v="1"/>
    <x v="13"/>
    <x v="263"/>
    <n v="5242247.62"/>
    <n v="5242247.62"/>
    <n v="5242247.62"/>
  </r>
  <r>
    <s v="Красноярский край"/>
    <x v="1"/>
    <x v="13"/>
    <x v="250"/>
    <n v="916901.7"/>
    <n v="916901.7"/>
    <n v="916901.7"/>
  </r>
  <r>
    <s v="Красноярский край"/>
    <x v="1"/>
    <x v="13"/>
    <x v="260"/>
    <n v="165297.60000000001"/>
    <n v="165297.60000000001"/>
    <n v="165297.60000000001"/>
  </r>
  <r>
    <s v="Красноярский край"/>
    <x v="1"/>
    <x v="13"/>
    <x v="256"/>
    <n v="82153.8"/>
    <n v="82153.8"/>
    <n v="82153.8"/>
  </r>
  <r>
    <s v="Красноярский край"/>
    <x v="1"/>
    <x v="13"/>
    <x v="257"/>
    <n v="38148.720000000001"/>
    <n v="38148.720000000001"/>
    <n v="38148.720000000001"/>
  </r>
  <r>
    <s v="Красноярский край"/>
    <x v="1"/>
    <x v="13"/>
    <x v="238"/>
    <n v="27298.560000000001"/>
    <n v="27298.560000000001"/>
    <n v="27298.560000000001"/>
  </r>
  <r>
    <s v="Красноярский край"/>
    <x v="1"/>
    <x v="13"/>
    <x v="282"/>
    <n v="5506.38"/>
    <n v="5506.38"/>
    <n v="5506.38"/>
  </r>
  <r>
    <s v="Красноярский край"/>
    <x v="1"/>
    <x v="10"/>
    <x v="263"/>
    <n v="2921275.08"/>
    <n v="2921275.08"/>
    <n v="2921275.08"/>
  </r>
  <r>
    <s v="Красноярский край"/>
    <x v="1"/>
    <x v="10"/>
    <x v="259"/>
    <n v="1739109.05"/>
    <n v="1739109.05"/>
    <n v="1739109.05"/>
  </r>
  <r>
    <s v="Красноярский край"/>
    <x v="1"/>
    <x v="10"/>
    <x v="283"/>
    <n v="957131.65"/>
    <n v="957131.65"/>
    <n v="957131.65"/>
  </r>
  <r>
    <s v="Красноярский край"/>
    <x v="1"/>
    <x v="10"/>
    <x v="279"/>
    <n v="480732.26"/>
    <n v="480732.26"/>
    <n v="480732.26"/>
  </r>
  <r>
    <s v="Красноярский край"/>
    <x v="1"/>
    <x v="10"/>
    <x v="284"/>
    <n v="359143.2"/>
    <n v="359143.2"/>
    <n v="359143.2"/>
  </r>
  <r>
    <s v="Красноярский край"/>
    <x v="1"/>
    <x v="7"/>
    <x v="249"/>
    <n v="3380036.34"/>
    <n v="3380036.34"/>
    <n v="3380036.34"/>
  </r>
  <r>
    <s v="Красноярский край"/>
    <x v="1"/>
    <x v="7"/>
    <x v="259"/>
    <n v="1439749.08"/>
    <n v="1439749.08"/>
    <n v="1439749.08"/>
  </r>
  <r>
    <s v="Красноярский край"/>
    <x v="1"/>
    <x v="7"/>
    <x v="241"/>
    <n v="359553.86"/>
    <n v="359553.86"/>
    <n v="359553.86"/>
  </r>
  <r>
    <s v="Красноярский край"/>
    <x v="1"/>
    <x v="22"/>
    <x v="285"/>
    <n v="2366826"/>
    <n v="2366826"/>
    <n v="2366826"/>
  </r>
  <r>
    <s v="Красноярский край"/>
    <x v="1"/>
    <x v="22"/>
    <x v="286"/>
    <n v="1941202"/>
    <n v="1941202"/>
    <n v="1941202"/>
  </r>
  <r>
    <s v="Красноярский край"/>
    <x v="1"/>
    <x v="22"/>
    <x v="287"/>
    <n v="166470"/>
    <n v="166470"/>
    <n v="166470"/>
  </r>
  <r>
    <s v="Красноярский край"/>
    <x v="1"/>
    <x v="22"/>
    <x v="288"/>
    <n v="50620"/>
    <n v="50620"/>
    <n v="50620"/>
  </r>
  <r>
    <s v="Красноярский край"/>
    <x v="1"/>
    <x v="22"/>
    <x v="289"/>
    <n v="45000"/>
    <n v="45000"/>
    <n v="45000"/>
  </r>
  <r>
    <s v="Красноярский край"/>
    <x v="1"/>
    <x v="22"/>
    <x v="290"/>
    <n v="8928"/>
    <n v="8928"/>
    <n v="8928"/>
  </r>
  <r>
    <s v="Красноярский край"/>
    <x v="1"/>
    <x v="22"/>
    <x v="291"/>
    <n v="4000"/>
    <n v="4000"/>
    <n v="4000"/>
  </r>
  <r>
    <s v="Красноярский край"/>
    <x v="1"/>
    <x v="0"/>
    <x v="292"/>
    <n v="783750"/>
    <n v="783750"/>
    <n v="783750"/>
  </r>
  <r>
    <s v="Красноярский край"/>
    <x v="1"/>
    <x v="0"/>
    <x v="1"/>
    <n v="26400"/>
    <n v="26400"/>
    <n v="26400"/>
  </r>
  <r>
    <s v="Красноярский край"/>
    <x v="1"/>
    <x v="26"/>
    <x v="293"/>
    <n v="445751.4"/>
    <n v="445751.4"/>
    <n v="445751.4"/>
  </r>
  <r>
    <s v="Красноярский край"/>
    <x v="1"/>
    <x v="14"/>
    <x v="238"/>
    <n v="235524.3"/>
    <n v="235524.3"/>
    <n v="235524.3"/>
  </r>
  <r>
    <s v="Красноярский край"/>
    <x v="1"/>
    <x v="14"/>
    <x v="294"/>
    <n v="181050.92"/>
    <n v="181050.92"/>
    <n v="181050.92"/>
  </r>
  <r>
    <s v="Красноярский край"/>
    <x v="1"/>
    <x v="17"/>
    <x v="295"/>
    <n v="370362.97"/>
    <n v="370362.97"/>
    <n v="370362.97"/>
  </r>
  <r>
    <s v="Красноярский край"/>
    <x v="1"/>
    <x v="17"/>
    <x v="296"/>
    <n v="24220"/>
    <n v="24220"/>
    <n v="24220"/>
  </r>
  <r>
    <s v="Красноярский край"/>
    <x v="1"/>
    <x v="17"/>
    <x v="297"/>
    <n v="6134.75"/>
    <n v="6134.75"/>
    <n v="6134.75"/>
  </r>
  <r>
    <s v="Красноярский край"/>
    <x v="1"/>
    <x v="17"/>
    <x v="298"/>
    <n v="880"/>
    <n v="880"/>
    <n v="880"/>
  </r>
  <r>
    <s v="Красноярский край"/>
    <x v="1"/>
    <x v="1"/>
    <x v="299"/>
    <n v="132935.31"/>
    <n v="132935.31"/>
    <n v="132935.31"/>
  </r>
  <r>
    <s v="Красноярский край"/>
    <x v="1"/>
    <x v="1"/>
    <x v="300"/>
    <n v="46284"/>
    <n v="46284"/>
    <n v="46284"/>
  </r>
  <r>
    <s v="Магаданская область"/>
    <x v="7"/>
    <x v="7"/>
    <x v="301"/>
    <n v="30721031.329999998"/>
    <n v="30721031.329999998"/>
    <n v="30721031.329999998"/>
  </r>
  <r>
    <s v="Магаданская область"/>
    <x v="7"/>
    <x v="5"/>
    <x v="302"/>
    <n v="1610229.09"/>
    <n v="1610229.09"/>
    <n v="1610229.09"/>
  </r>
  <r>
    <s v="Магаданская область"/>
    <x v="7"/>
    <x v="5"/>
    <x v="303"/>
    <n v="1388292.8"/>
    <n v="1388292.8"/>
    <n v="1388292.8"/>
  </r>
  <r>
    <s v="Магаданская область"/>
    <x v="7"/>
    <x v="5"/>
    <x v="304"/>
    <n v="9905825"/>
    <n v="9905825"/>
    <n v="9905825"/>
  </r>
  <r>
    <s v="Магаданская область"/>
    <x v="7"/>
    <x v="5"/>
    <x v="305"/>
    <n v="5338231.2"/>
    <n v="5338231.2"/>
    <n v="5338231.2"/>
  </r>
  <r>
    <s v="Магаданская область"/>
    <x v="7"/>
    <x v="5"/>
    <x v="306"/>
    <n v="2120248.5099999998"/>
    <n v="2120248.5099999998"/>
    <n v="2120248.5099999998"/>
  </r>
  <r>
    <s v="Магаданская область"/>
    <x v="7"/>
    <x v="22"/>
    <x v="307"/>
    <n v="2094500"/>
    <n v="2094500"/>
    <n v="2094500"/>
  </r>
  <r>
    <s v="Магаданская область"/>
    <x v="7"/>
    <x v="22"/>
    <x v="308"/>
    <n v="1482412"/>
    <n v="1482412"/>
    <n v="1482412"/>
  </r>
  <r>
    <s v="Магаданская область"/>
    <x v="7"/>
    <x v="14"/>
    <x v="304"/>
    <n v="2070561.07"/>
    <n v="2070561.07"/>
    <n v="2070561.07"/>
  </r>
  <r>
    <s v="Республика Саха"/>
    <x v="8"/>
    <x v="5"/>
    <x v="309"/>
    <n v="35683716.280000001"/>
    <n v="35683716.280000001"/>
    <n v="35683716.280000001"/>
  </r>
  <r>
    <s v="Республика Саха"/>
    <x v="8"/>
    <x v="5"/>
    <x v="310"/>
    <n v="5865740.9699999997"/>
    <n v="5865740.9699999997"/>
    <n v="5865740.9699999997"/>
  </r>
  <r>
    <s v="Республика Саха"/>
    <x v="8"/>
    <x v="5"/>
    <x v="311"/>
    <n v="2326914.9500000002"/>
    <n v="2326914.9500000002"/>
    <n v="2326914.9500000002"/>
  </r>
  <r>
    <s v="Республика Саха"/>
    <x v="8"/>
    <x v="5"/>
    <x v="312"/>
    <n v="1941097.54"/>
    <n v="1941097.54"/>
    <n v="1941097.54"/>
  </r>
  <r>
    <s v="Республика Саха"/>
    <x v="8"/>
    <x v="5"/>
    <x v="313"/>
    <n v="1409174.48"/>
    <n v="1409174.48"/>
    <n v="1409174.48"/>
  </r>
  <r>
    <s v="Республика Саха"/>
    <x v="8"/>
    <x v="5"/>
    <x v="314"/>
    <n v="1333600.3400000001"/>
    <n v="1333600.3400000001"/>
    <n v="1333600.3400000001"/>
  </r>
  <r>
    <s v="Республика Саха"/>
    <x v="8"/>
    <x v="5"/>
    <x v="315"/>
    <n v="1323729.1599999999"/>
    <n v="1323729.1599999999"/>
    <n v="1323729.1599999999"/>
  </r>
  <r>
    <s v="Республика Саха"/>
    <x v="8"/>
    <x v="5"/>
    <x v="316"/>
    <n v="1134166.47"/>
    <n v="1134166.47"/>
    <n v="1134166.47"/>
  </r>
  <r>
    <s v="Республика Саха"/>
    <x v="8"/>
    <x v="5"/>
    <x v="317"/>
    <n v="950838.51"/>
    <n v="950838.51"/>
    <n v="950838.51"/>
  </r>
  <r>
    <s v="Республика Саха"/>
    <x v="8"/>
    <x v="5"/>
    <x v="318"/>
    <n v="791162.58"/>
    <n v="791162.58"/>
    <n v="791162.58"/>
  </r>
  <r>
    <s v="Республика Саха"/>
    <x v="8"/>
    <x v="5"/>
    <x v="319"/>
    <n v="728261.51"/>
    <n v="728261.51"/>
    <n v="728261.51"/>
  </r>
  <r>
    <s v="Республика Саха"/>
    <x v="8"/>
    <x v="5"/>
    <x v="320"/>
    <n v="609594.82999999996"/>
    <n v="609594.82999999996"/>
    <n v="609594.82999999996"/>
  </r>
  <r>
    <s v="Республика Саха"/>
    <x v="8"/>
    <x v="5"/>
    <x v="321"/>
    <n v="510632.59"/>
    <n v="510632.59"/>
    <n v="510632.59"/>
  </r>
  <r>
    <s v="Республика Саха"/>
    <x v="8"/>
    <x v="5"/>
    <x v="322"/>
    <n v="426191.04"/>
    <n v="426191.04"/>
    <n v="426191.04"/>
  </r>
  <r>
    <s v="Республика Саха"/>
    <x v="8"/>
    <x v="5"/>
    <x v="323"/>
    <n v="331091.75"/>
    <n v="331091.75"/>
    <n v="331091.75"/>
  </r>
  <r>
    <s v="Республика Саха"/>
    <x v="8"/>
    <x v="5"/>
    <x v="324"/>
    <n v="209599.69"/>
    <n v="209599.69"/>
    <n v="209599.69"/>
  </r>
  <r>
    <s v="Республика Саха"/>
    <x v="8"/>
    <x v="5"/>
    <x v="325"/>
    <n v="158219.53"/>
    <n v="158219.53"/>
    <n v="158219.53"/>
  </r>
  <r>
    <s v="Республика Саха"/>
    <x v="8"/>
    <x v="5"/>
    <x v="326"/>
    <n v="21246.5"/>
    <n v="21246.5"/>
    <n v="21246.5"/>
  </r>
  <r>
    <s v="Республика Саха"/>
    <x v="8"/>
    <x v="5"/>
    <x v="327"/>
    <n v="19060.23"/>
    <n v="19060.23"/>
    <n v="19060.23"/>
  </r>
  <r>
    <s v="Республика Саха"/>
    <x v="8"/>
    <x v="4"/>
    <x v="309"/>
    <n v="9272014.1999999993"/>
    <n v="9272014.1999999993"/>
    <n v="9272014.1999999993"/>
  </r>
  <r>
    <s v="Республика Саха"/>
    <x v="8"/>
    <x v="4"/>
    <x v="311"/>
    <n v="8253503.3399999999"/>
    <n v="8253503.3399999999"/>
    <n v="8253503.3399999999"/>
  </r>
  <r>
    <s v="Республика Саха"/>
    <x v="8"/>
    <x v="4"/>
    <x v="328"/>
    <n v="8095024.7999999998"/>
    <n v="8095024.7999999998"/>
    <n v="8095024.7999999998"/>
  </r>
  <r>
    <s v="Республика Саха"/>
    <x v="8"/>
    <x v="4"/>
    <x v="329"/>
    <n v="8017448.0800000001"/>
    <n v="8017448.0800000001"/>
    <n v="8017448.0800000001"/>
  </r>
  <r>
    <s v="Республика Саха"/>
    <x v="8"/>
    <x v="4"/>
    <x v="330"/>
    <n v="3542295.4"/>
    <n v="3542295.4"/>
    <n v="3542295.4"/>
  </r>
  <r>
    <s v="Республика Саха"/>
    <x v="8"/>
    <x v="4"/>
    <x v="331"/>
    <n v="2946352.8"/>
    <n v="2946352.8"/>
    <n v="2946352.8"/>
  </r>
  <r>
    <s v="Республика Саха"/>
    <x v="8"/>
    <x v="4"/>
    <x v="332"/>
    <n v="1769979.2"/>
    <n v="1769979.2"/>
    <n v="1769979.2"/>
  </r>
  <r>
    <s v="Республика Саха"/>
    <x v="8"/>
    <x v="4"/>
    <x v="333"/>
    <n v="1601061.28"/>
    <n v="1601061.28"/>
    <n v="1601061.28"/>
  </r>
  <r>
    <s v="Республика Саха"/>
    <x v="8"/>
    <x v="4"/>
    <x v="334"/>
    <n v="1382879.6"/>
    <n v="1382879.6"/>
    <n v="1382879.6"/>
  </r>
  <r>
    <s v="Республика Саха"/>
    <x v="8"/>
    <x v="7"/>
    <x v="335"/>
    <n v="23566698.239999998"/>
    <n v="23566698.239999998"/>
    <n v="23566698.239999998"/>
  </r>
  <r>
    <s v="Республика Саха"/>
    <x v="8"/>
    <x v="7"/>
    <x v="309"/>
    <n v="4231103.58"/>
    <n v="4231103.58"/>
    <n v="4231103.58"/>
  </r>
  <r>
    <s v="Республика Саха"/>
    <x v="8"/>
    <x v="18"/>
    <x v="336"/>
    <n v="8204678.54"/>
    <n v="8204678.54"/>
    <n v="8204678.54"/>
  </r>
  <r>
    <s v="Республика Саха"/>
    <x v="8"/>
    <x v="18"/>
    <x v="332"/>
    <n v="6780315.5199999996"/>
    <n v="6780315.5199999996"/>
    <n v="6780315.5199999996"/>
  </r>
  <r>
    <s v="Республика Саха"/>
    <x v="8"/>
    <x v="18"/>
    <x v="337"/>
    <n v="5231366.1500000004"/>
    <n v="5231366.1500000004"/>
    <n v="5231366.1500000004"/>
  </r>
  <r>
    <s v="Республика Саха"/>
    <x v="8"/>
    <x v="2"/>
    <x v="338"/>
    <n v="15708929.300000001"/>
    <n v="15708929.300000001"/>
    <n v="15708929.300000001"/>
  </r>
  <r>
    <s v="Республика Саха"/>
    <x v="8"/>
    <x v="2"/>
    <x v="339"/>
    <n v="33432"/>
    <n v="33432"/>
    <n v="33432"/>
  </r>
  <r>
    <s v="Республика Саха"/>
    <x v="8"/>
    <x v="6"/>
    <x v="309"/>
    <n v="7642637.9000000004"/>
    <n v="7642637.9000000004"/>
    <n v="7642637.9000000004"/>
  </r>
  <r>
    <s v="Республика Саха"/>
    <x v="8"/>
    <x v="6"/>
    <x v="340"/>
    <n v="2217835.25"/>
    <n v="2217835.25"/>
    <n v="2217835.25"/>
  </r>
  <r>
    <s v="Республика Саха"/>
    <x v="8"/>
    <x v="6"/>
    <x v="341"/>
    <n v="17800"/>
    <n v="17800"/>
    <n v="17800"/>
  </r>
  <r>
    <s v="Республика Саха"/>
    <x v="8"/>
    <x v="14"/>
    <x v="342"/>
    <n v="9552215.2400000002"/>
    <n v="9552215.2400000002"/>
    <n v="9552215.2400000002"/>
  </r>
  <r>
    <s v="Республика Саха"/>
    <x v="8"/>
    <x v="16"/>
    <x v="343"/>
    <n v="9414901.3599999994"/>
    <n v="9414901.3599999994"/>
    <n v="9414901.3599999994"/>
  </r>
  <r>
    <s v="Республика Саха"/>
    <x v="8"/>
    <x v="11"/>
    <x v="344"/>
    <n v="3821798.21"/>
    <n v="3821798.21"/>
    <n v="3821798.21"/>
  </r>
  <r>
    <s v="Республика Саха"/>
    <x v="8"/>
    <x v="3"/>
    <x v="335"/>
    <n v="1817576.07"/>
    <n v="1817576.07"/>
    <n v="1817576.07"/>
  </r>
  <r>
    <s v="Республика Саха"/>
    <x v="8"/>
    <x v="23"/>
    <x v="344"/>
    <n v="217790.64"/>
    <n v="217790.64"/>
    <n v="217790.64"/>
  </r>
  <r>
    <s v="Республика Саха"/>
    <x v="8"/>
    <x v="13"/>
    <x v="314"/>
    <n v="178329.60000000001"/>
    <n v="178329.60000000001"/>
    <n v="178329.60000000001"/>
  </r>
  <r>
    <s v="Республика Саха"/>
    <x v="8"/>
    <x v="15"/>
    <x v="345"/>
    <n v="136989.85999999999"/>
    <n v="136989.85999999999"/>
    <n v="136989.85999999999"/>
  </r>
  <r>
    <s v="Республика Саха"/>
    <x v="8"/>
    <x v="24"/>
    <x v="346"/>
    <n v="57952"/>
    <n v="57952"/>
    <n v="57952"/>
  </r>
  <r>
    <s v="Республика Саха"/>
    <x v="8"/>
    <x v="22"/>
    <x v="347"/>
    <n v="49950"/>
    <n v="49950"/>
    <n v="49950"/>
  </r>
  <r>
    <s v="Республика Хакасия"/>
    <x v="9"/>
    <x v="9"/>
    <x v="348"/>
    <n v="9702724"/>
    <n v="9702724"/>
    <n v="9702724"/>
  </r>
  <r>
    <s v="Республика Хакасия"/>
    <x v="9"/>
    <x v="9"/>
    <x v="349"/>
    <n v="9441436.0999999996"/>
    <n v="9441436.0999999996"/>
    <n v="9441436.0999999996"/>
  </r>
  <r>
    <s v="Республика Хакасия"/>
    <x v="9"/>
    <x v="9"/>
    <x v="350"/>
    <n v="6763783.4000000004"/>
    <n v="6763783.4000000004"/>
    <n v="6763783.4000000004"/>
  </r>
  <r>
    <s v="Республика Хакасия"/>
    <x v="9"/>
    <x v="2"/>
    <x v="349"/>
    <n v="17351974"/>
    <n v="17351974"/>
    <n v="17351974"/>
  </r>
  <r>
    <s v="Республика Хакасия"/>
    <x v="9"/>
    <x v="3"/>
    <x v="349"/>
    <n v="5016462.92"/>
    <n v="5016462.92"/>
    <n v="5016462.92"/>
  </r>
  <r>
    <s v="Республика Хакасия"/>
    <x v="9"/>
    <x v="5"/>
    <x v="351"/>
    <n v="2503362.59"/>
    <n v="2503362.59"/>
    <n v="2503362.59"/>
  </r>
  <r>
    <s v="Республика Хакасия"/>
    <x v="9"/>
    <x v="5"/>
    <x v="348"/>
    <n v="985980"/>
    <n v="985980"/>
    <n v="985980"/>
  </r>
  <r>
    <s v="Республика Хакасия"/>
    <x v="9"/>
    <x v="6"/>
    <x v="352"/>
    <n v="1567314.43"/>
    <n v="1567314.43"/>
    <n v="1567314.43"/>
  </r>
  <r>
    <s v="Республика Хакасия"/>
    <x v="9"/>
    <x v="15"/>
    <x v="348"/>
    <n v="832318.55"/>
    <n v="832318.55"/>
    <n v="832318.55"/>
  </r>
  <r>
    <s v="Республика Хакасия"/>
    <x v="9"/>
    <x v="15"/>
    <x v="353"/>
    <n v="74202"/>
    <n v="74202"/>
    <n v="74202"/>
  </r>
  <r>
    <s v="Республика Хакасия"/>
    <x v="9"/>
    <x v="14"/>
    <x v="354"/>
    <n v="716912.92"/>
    <n v="716912.92"/>
    <n v="716912.92"/>
  </r>
  <r>
    <s v="Республика Хакасия"/>
    <x v="9"/>
    <x v="7"/>
    <x v="354"/>
    <n v="406622.58"/>
    <n v="406622.58"/>
    <n v="406622.58"/>
  </r>
  <r>
    <s v="Республика Хакасия"/>
    <x v="9"/>
    <x v="22"/>
    <x v="355"/>
    <n v="218398"/>
    <n v="218398"/>
    <n v="218398"/>
  </r>
  <r>
    <s v="Республика Хакасия"/>
    <x v="9"/>
    <x v="22"/>
    <x v="356"/>
    <n v="5000"/>
    <n v="5000"/>
    <n v="5000"/>
  </r>
  <r>
    <s v="Республика Хакасия"/>
    <x v="9"/>
    <x v="11"/>
    <x v="354"/>
    <n v="140849.85"/>
    <n v="140849.85"/>
    <n v="140849.85"/>
  </r>
  <r>
    <s v="Сахалинская область"/>
    <x v="10"/>
    <x v="5"/>
    <x v="357"/>
    <n v="12526161.460000001"/>
    <n v="12526161.460000001"/>
    <n v="12526161.460000001"/>
  </r>
  <r>
    <s v="Сахалинская область"/>
    <x v="10"/>
    <x v="5"/>
    <x v="358"/>
    <n v="7887166.9400000004"/>
    <n v="7887166.9400000004"/>
    <n v="7887166.9400000004"/>
  </r>
  <r>
    <s v="Сахалинская область"/>
    <x v="10"/>
    <x v="5"/>
    <x v="359"/>
    <n v="1549116.06"/>
    <n v="1549116.06"/>
    <n v="1549116.06"/>
  </r>
  <r>
    <s v="Сахалинская область"/>
    <x v="10"/>
    <x v="5"/>
    <x v="360"/>
    <n v="558402.14"/>
    <n v="558402.14"/>
    <n v="558402.14"/>
  </r>
  <r>
    <s v="Сахалинская область"/>
    <x v="10"/>
    <x v="5"/>
    <x v="361"/>
    <n v="512565.56"/>
    <n v="512565.56"/>
    <n v="512565.56"/>
  </r>
  <r>
    <s v="Сахалинская область"/>
    <x v="10"/>
    <x v="5"/>
    <x v="362"/>
    <n v="477980.22"/>
    <n v="477980.22"/>
    <n v="477980.22"/>
  </r>
  <r>
    <s v="Сахалинская область"/>
    <x v="10"/>
    <x v="5"/>
    <x v="363"/>
    <n v="458431.78"/>
    <n v="458431.78"/>
    <n v="458431.78"/>
  </r>
  <r>
    <s v="Сахалинская область"/>
    <x v="10"/>
    <x v="5"/>
    <x v="364"/>
    <n v="12480563.65"/>
    <n v="12480563.65"/>
    <n v="12480563.65"/>
  </r>
  <r>
    <s v="Сахалинская область"/>
    <x v="10"/>
    <x v="1"/>
    <x v="365"/>
    <n v="5645346"/>
    <n v="5645346"/>
    <n v="5645346"/>
  </r>
  <r>
    <s v="Сахалинская область"/>
    <x v="10"/>
    <x v="1"/>
    <x v="366"/>
    <n v="3202791.62"/>
    <n v="3202791.62"/>
    <n v="3202791.62"/>
  </r>
  <r>
    <s v="Сахалинская область"/>
    <x v="10"/>
    <x v="1"/>
    <x v="367"/>
    <n v="658427.02"/>
    <n v="658427.02"/>
    <n v="658427.02"/>
  </r>
  <r>
    <s v="Сахалинская область"/>
    <x v="10"/>
    <x v="9"/>
    <x v="368"/>
    <n v="7667749.2000000002"/>
    <n v="7667749.2000000002"/>
    <n v="7667749.2000000002"/>
  </r>
  <r>
    <s v="Сахалинская область"/>
    <x v="10"/>
    <x v="2"/>
    <x v="369"/>
    <n v="6154495"/>
    <n v="6154495"/>
    <n v="6154495"/>
  </r>
  <r>
    <s v="Сахалинская область"/>
    <x v="10"/>
    <x v="14"/>
    <x v="370"/>
    <n v="2349696.88"/>
    <n v="2349696.88"/>
    <n v="2349696.88"/>
  </r>
  <r>
    <s v="Сахалинская область"/>
    <x v="10"/>
    <x v="14"/>
    <x v="364"/>
    <n v="780570.38"/>
    <n v="780570.38"/>
    <n v="780570.38"/>
  </r>
  <r>
    <s v="Сахалинская область"/>
    <x v="10"/>
    <x v="14"/>
    <x v="371"/>
    <n v="9180.7999999999993"/>
    <n v="9180.7999999999993"/>
    <n v="9180.7999999999993"/>
  </r>
  <r>
    <s v="Сахалинская область"/>
    <x v="10"/>
    <x v="14"/>
    <x v="357"/>
    <n v="3000"/>
    <n v="3000"/>
    <n v="3000"/>
  </r>
  <r>
    <s v="Сахалинская область"/>
    <x v="10"/>
    <x v="4"/>
    <x v="360"/>
    <n v="1052963"/>
    <n v="1052963"/>
    <n v="1052963"/>
  </r>
  <r>
    <s v="Сахалинская область"/>
    <x v="10"/>
    <x v="4"/>
    <x v="372"/>
    <n v="658322"/>
    <n v="658322"/>
    <n v="658322"/>
  </r>
  <r>
    <s v="Сахалинская область"/>
    <x v="10"/>
    <x v="4"/>
    <x v="373"/>
    <n v="434751.68"/>
    <n v="434751.68"/>
    <n v="434751.68"/>
  </r>
  <r>
    <s v="Сахалинская область"/>
    <x v="10"/>
    <x v="4"/>
    <x v="374"/>
    <n v="56655"/>
    <n v="56655"/>
    <n v="56655"/>
  </r>
  <r>
    <s v="Сахалинская область"/>
    <x v="10"/>
    <x v="7"/>
    <x v="375"/>
    <n v="1488497.64"/>
    <n v="1488497.64"/>
    <n v="1488497.64"/>
  </r>
  <r>
    <s v="Сахалинская область"/>
    <x v="10"/>
    <x v="13"/>
    <x v="376"/>
    <n v="129168"/>
    <n v="129168"/>
    <n v="129168"/>
  </r>
  <r>
    <s v="Сахалинская область"/>
    <x v="10"/>
    <x v="13"/>
    <x v="377"/>
    <n v="115964.16"/>
    <n v="115964.16"/>
    <n v="115964.16"/>
  </r>
  <r>
    <s v="Сахалинская область"/>
    <x v="10"/>
    <x v="6"/>
    <x v="364"/>
    <n v="3036.5"/>
    <n v="3036.5"/>
    <n v="3036.5"/>
  </r>
  <r>
    <s v="Сахалинская область"/>
    <x v="10"/>
    <x v="17"/>
    <x v="378"/>
    <n v="2580"/>
    <n v="2580"/>
    <n v="2580"/>
  </r>
  <r>
    <s v="Хабаровский край"/>
    <x v="11"/>
    <x v="2"/>
    <x v="379"/>
    <n v="46714738.359999999"/>
    <n v="46714738.359999999"/>
    <n v="46714738.359999999"/>
  </r>
  <r>
    <s v="Хабаровский край"/>
    <x v="11"/>
    <x v="2"/>
    <x v="380"/>
    <n v="16669221.699999999"/>
    <n v="16669221.699999999"/>
    <n v="16669221.699999999"/>
  </r>
  <r>
    <s v="Хабаровский край"/>
    <x v="11"/>
    <x v="2"/>
    <x v="381"/>
    <n v="13443131.5"/>
    <n v="13443131.5"/>
    <n v="13443131.5"/>
  </r>
  <r>
    <s v="Хабаровский край"/>
    <x v="11"/>
    <x v="2"/>
    <x v="382"/>
    <n v="4891361"/>
    <n v="4891361"/>
    <n v="4891361"/>
  </r>
  <r>
    <s v="Хабаровский край"/>
    <x v="11"/>
    <x v="18"/>
    <x v="380"/>
    <n v="66667144.859999999"/>
    <n v="66667144.859999999"/>
    <n v="66667144.859999999"/>
  </r>
  <r>
    <s v="Хабаровский край"/>
    <x v="11"/>
    <x v="18"/>
    <x v="383"/>
    <n v="11722363.369999999"/>
    <n v="11722363.369999999"/>
    <n v="11722363.369999999"/>
  </r>
  <r>
    <s v="Хабаровский край"/>
    <x v="11"/>
    <x v="18"/>
    <x v="384"/>
    <n v="417155.76"/>
    <n v="417155.76"/>
    <n v="417155.76"/>
  </r>
  <r>
    <s v="Хабаровский край"/>
    <x v="11"/>
    <x v="6"/>
    <x v="381"/>
    <n v="20725990.149999999"/>
    <n v="20725990.149999999"/>
    <n v="20725990.149999999"/>
  </r>
  <r>
    <s v="Хабаровский край"/>
    <x v="11"/>
    <x v="6"/>
    <x v="385"/>
    <n v="13792240.02"/>
    <n v="13792240.02"/>
    <n v="13792240.02"/>
  </r>
  <r>
    <s v="Хабаровский край"/>
    <x v="11"/>
    <x v="6"/>
    <x v="386"/>
    <n v="11440000"/>
    <n v="11440000"/>
    <n v="11440000"/>
  </r>
  <r>
    <s v="Хабаровский край"/>
    <x v="11"/>
    <x v="6"/>
    <x v="387"/>
    <n v="9456338.2100000009"/>
    <n v="9456338.2100000009"/>
    <n v="9456338.2100000009"/>
  </r>
  <r>
    <s v="Хабаровский край"/>
    <x v="11"/>
    <x v="6"/>
    <x v="388"/>
    <n v="3579450"/>
    <n v="3579450"/>
    <n v="3579450"/>
  </r>
  <r>
    <s v="Хабаровский край"/>
    <x v="11"/>
    <x v="6"/>
    <x v="380"/>
    <n v="1215445.82"/>
    <n v="1215445.82"/>
    <n v="1215445.82"/>
  </r>
  <r>
    <s v="Хабаровский край"/>
    <x v="11"/>
    <x v="6"/>
    <x v="389"/>
    <n v="772995.17"/>
    <n v="772995.17"/>
    <n v="772995.17"/>
  </r>
  <r>
    <s v="Хабаровский край"/>
    <x v="11"/>
    <x v="6"/>
    <x v="390"/>
    <n v="480552"/>
    <n v="480552"/>
    <n v="480552"/>
  </r>
  <r>
    <s v="Хабаровский край"/>
    <x v="11"/>
    <x v="6"/>
    <x v="391"/>
    <n v="399224.97"/>
    <n v="399224.97"/>
    <n v="399224.97"/>
  </r>
  <r>
    <s v="Хабаровский край"/>
    <x v="11"/>
    <x v="6"/>
    <x v="392"/>
    <n v="341462"/>
    <n v="341462"/>
    <n v="341462"/>
  </r>
  <r>
    <s v="Хабаровский край"/>
    <x v="11"/>
    <x v="6"/>
    <x v="393"/>
    <n v="224430.32"/>
    <n v="224430.32"/>
    <n v="224430.32"/>
  </r>
  <r>
    <s v="Хабаровский край"/>
    <x v="11"/>
    <x v="6"/>
    <x v="394"/>
    <n v="208662.05"/>
    <n v="208662.05"/>
    <n v="208662.05"/>
  </r>
  <r>
    <s v="Хабаровский край"/>
    <x v="11"/>
    <x v="6"/>
    <x v="395"/>
    <n v="205916.93"/>
    <n v="205916.93"/>
    <n v="205916.93"/>
  </r>
  <r>
    <s v="Хабаровский край"/>
    <x v="11"/>
    <x v="6"/>
    <x v="396"/>
    <n v="198974.55"/>
    <n v="198974.55"/>
    <n v="198974.55"/>
  </r>
  <r>
    <s v="Хабаровский край"/>
    <x v="11"/>
    <x v="6"/>
    <x v="397"/>
    <n v="148000"/>
    <n v="148000"/>
    <n v="148000"/>
  </r>
  <r>
    <s v="Хабаровский край"/>
    <x v="11"/>
    <x v="6"/>
    <x v="398"/>
    <n v="95538.99"/>
    <n v="95538.99"/>
    <n v="95538.99"/>
  </r>
  <r>
    <s v="Хабаровский край"/>
    <x v="11"/>
    <x v="6"/>
    <x v="399"/>
    <n v="55001.97"/>
    <n v="55001.97"/>
    <n v="55001.97"/>
  </r>
  <r>
    <s v="Хабаровский край"/>
    <x v="11"/>
    <x v="6"/>
    <x v="400"/>
    <n v="53099.38"/>
    <n v="53099.38"/>
    <n v="53099.38"/>
  </r>
  <r>
    <s v="Хабаровский край"/>
    <x v="11"/>
    <x v="6"/>
    <x v="401"/>
    <n v="48985.48"/>
    <n v="48985.48"/>
    <n v="48985.48"/>
  </r>
  <r>
    <s v="Хабаровский край"/>
    <x v="11"/>
    <x v="6"/>
    <x v="402"/>
    <n v="36342.239999999998"/>
    <n v="36342.239999999998"/>
    <n v="36342.239999999998"/>
  </r>
  <r>
    <s v="Хабаровский край"/>
    <x v="11"/>
    <x v="4"/>
    <x v="403"/>
    <n v="44191585.219999999"/>
    <n v="44191585.219999999"/>
    <n v="44191585.219999999"/>
  </r>
  <r>
    <s v="Хабаровский край"/>
    <x v="11"/>
    <x v="4"/>
    <x v="404"/>
    <n v="9209537.5"/>
    <n v="9209537.5"/>
    <n v="9209537.5"/>
  </r>
  <r>
    <s v="Хабаровский край"/>
    <x v="11"/>
    <x v="4"/>
    <x v="380"/>
    <n v="4905060.16"/>
    <n v="4905060.16"/>
    <n v="4905060.16"/>
  </r>
  <r>
    <s v="Хабаровский край"/>
    <x v="11"/>
    <x v="4"/>
    <x v="405"/>
    <n v="1751928"/>
    <n v="1751928"/>
    <n v="1751928"/>
  </r>
  <r>
    <s v="Хабаровский край"/>
    <x v="11"/>
    <x v="4"/>
    <x v="406"/>
    <n v="1596275.2"/>
    <n v="1596275.2"/>
    <n v="1596275.2"/>
  </r>
  <r>
    <s v="Хабаровский край"/>
    <x v="11"/>
    <x v="4"/>
    <x v="407"/>
    <n v="1105167.3"/>
    <n v="1105167.3"/>
    <n v="1105167.3"/>
  </r>
  <r>
    <s v="Хабаровский край"/>
    <x v="11"/>
    <x v="0"/>
    <x v="408"/>
    <n v="40262640"/>
    <n v="40262640"/>
    <n v="40262640"/>
  </r>
  <r>
    <s v="Хабаровский край"/>
    <x v="11"/>
    <x v="0"/>
    <x v="409"/>
    <n v="10459650"/>
    <n v="10459650"/>
    <n v="10459650"/>
  </r>
  <r>
    <s v="Хабаровский край"/>
    <x v="11"/>
    <x v="0"/>
    <x v="410"/>
    <n v="1001600"/>
    <n v="1001600"/>
    <n v="1001600"/>
  </r>
  <r>
    <s v="Хабаровский край"/>
    <x v="11"/>
    <x v="0"/>
    <x v="411"/>
    <n v="497200"/>
    <n v="497200"/>
    <n v="497200"/>
  </r>
  <r>
    <s v="Хабаровский край"/>
    <x v="11"/>
    <x v="0"/>
    <x v="412"/>
    <n v="395450"/>
    <n v="395450"/>
    <n v="395450"/>
  </r>
  <r>
    <s v="Хабаровский край"/>
    <x v="11"/>
    <x v="7"/>
    <x v="405"/>
    <n v="12701225.41"/>
    <n v="12701225.41"/>
    <n v="12701225.41"/>
  </r>
  <r>
    <s v="Хабаровский край"/>
    <x v="11"/>
    <x v="7"/>
    <x v="413"/>
    <n v="12408944.949999999"/>
    <n v="12408944.949999999"/>
    <n v="12408944.949999999"/>
  </r>
  <r>
    <s v="Хабаровский край"/>
    <x v="11"/>
    <x v="7"/>
    <x v="414"/>
    <n v="11884164.689999999"/>
    <n v="11884164.689999999"/>
    <n v="11884164.689999999"/>
  </r>
  <r>
    <s v="Хабаровский край"/>
    <x v="11"/>
    <x v="7"/>
    <x v="380"/>
    <n v="10673256.449999999"/>
    <n v="10673256.449999999"/>
    <n v="10673256.449999999"/>
  </r>
  <r>
    <s v="Хабаровский край"/>
    <x v="11"/>
    <x v="7"/>
    <x v="415"/>
    <n v="2256693.2599999998"/>
    <n v="2256693.2599999998"/>
    <n v="2256693.2599999998"/>
  </r>
  <r>
    <s v="Хабаровский край"/>
    <x v="11"/>
    <x v="16"/>
    <x v="416"/>
    <n v="38168153"/>
    <n v="38168153"/>
    <n v="38168153"/>
  </r>
  <r>
    <s v="Хабаровский край"/>
    <x v="11"/>
    <x v="16"/>
    <x v="417"/>
    <n v="6275283"/>
    <n v="6275283"/>
    <n v="6275283"/>
  </r>
  <r>
    <s v="Хабаровский край"/>
    <x v="11"/>
    <x v="16"/>
    <x v="413"/>
    <n v="2408524"/>
    <n v="2408524"/>
    <n v="2408524"/>
  </r>
  <r>
    <s v="Хабаровский край"/>
    <x v="11"/>
    <x v="5"/>
    <x v="418"/>
    <n v="9032812.6400000006"/>
    <n v="9032812.6400000006"/>
    <n v="9032812.6400000006"/>
  </r>
  <r>
    <s v="Хабаровский край"/>
    <x v="11"/>
    <x v="5"/>
    <x v="419"/>
    <n v="6892018.4699999997"/>
    <n v="6892018.4699999997"/>
    <n v="6892018.4699999997"/>
  </r>
  <r>
    <s v="Хабаровский край"/>
    <x v="11"/>
    <x v="5"/>
    <x v="420"/>
    <n v="2822992.47"/>
    <n v="2822992.47"/>
    <n v="2822992.47"/>
  </r>
  <r>
    <s v="Хабаровский край"/>
    <x v="11"/>
    <x v="5"/>
    <x v="417"/>
    <n v="1369776.84"/>
    <n v="1369776.84"/>
    <n v="1369776.84"/>
  </r>
  <r>
    <s v="Хабаровский край"/>
    <x v="11"/>
    <x v="5"/>
    <x v="403"/>
    <n v="824386.54"/>
    <n v="824386.54"/>
    <n v="824386.54"/>
  </r>
  <r>
    <s v="Хабаровский край"/>
    <x v="11"/>
    <x v="5"/>
    <x v="421"/>
    <n v="653705.82999999996"/>
    <n v="653705.82999999996"/>
    <n v="653705.82999999996"/>
  </r>
  <r>
    <s v="Хабаровский край"/>
    <x v="11"/>
    <x v="5"/>
    <x v="422"/>
    <n v="586045.80000000005"/>
    <n v="586045.80000000005"/>
    <n v="586045.80000000005"/>
  </r>
  <r>
    <s v="Хабаровский край"/>
    <x v="11"/>
    <x v="5"/>
    <x v="423"/>
    <n v="396972.22"/>
    <n v="396972.22"/>
    <n v="396972.22"/>
  </r>
  <r>
    <s v="Хабаровский край"/>
    <x v="11"/>
    <x v="5"/>
    <x v="424"/>
    <n v="163283.5"/>
    <n v="163283.5"/>
    <n v="163283.5"/>
  </r>
  <r>
    <s v="Хабаровский край"/>
    <x v="11"/>
    <x v="5"/>
    <x v="425"/>
    <n v="88723.02"/>
    <n v="88723.02"/>
    <n v="88723.02"/>
  </r>
  <r>
    <s v="Хабаровский край"/>
    <x v="11"/>
    <x v="8"/>
    <x v="426"/>
    <n v="13990907.140000001"/>
    <n v="13990907.140000001"/>
    <n v="13990907.140000001"/>
  </r>
  <r>
    <s v="Хабаровский край"/>
    <x v="11"/>
    <x v="8"/>
    <x v="427"/>
    <n v="1295212.55"/>
    <n v="1295212.55"/>
    <n v="1295212.55"/>
  </r>
  <r>
    <s v="Хабаровский край"/>
    <x v="11"/>
    <x v="8"/>
    <x v="428"/>
    <n v="884353.68"/>
    <n v="884353.68"/>
    <n v="884353.68"/>
  </r>
  <r>
    <s v="Хабаровский край"/>
    <x v="11"/>
    <x v="8"/>
    <x v="429"/>
    <n v="266651.12"/>
    <n v="266651.12"/>
    <n v="266651.12"/>
  </r>
  <r>
    <s v="Хабаровский край"/>
    <x v="11"/>
    <x v="8"/>
    <x v="430"/>
    <n v="2160"/>
    <n v="2160"/>
    <n v="2160"/>
  </r>
  <r>
    <s v="Хабаровский край"/>
    <x v="11"/>
    <x v="9"/>
    <x v="431"/>
    <n v="10766673.1"/>
    <n v="10766673.1"/>
    <n v="10766673.1"/>
  </r>
  <r>
    <s v="Хабаровский край"/>
    <x v="11"/>
    <x v="9"/>
    <x v="432"/>
    <n v="4628390.8600000003"/>
    <n v="4628390.8600000003"/>
    <n v="4628390.8600000003"/>
  </r>
  <r>
    <s v="Хабаровский край"/>
    <x v="11"/>
    <x v="27"/>
    <x v="381"/>
    <n v="6241832.4400000004"/>
    <n v="6241832.4400000004"/>
    <n v="6241832.4400000004"/>
  </r>
  <r>
    <s v="Хабаровский край"/>
    <x v="11"/>
    <x v="27"/>
    <x v="380"/>
    <n v="4814493.0999999996"/>
    <n v="4814493.0999999996"/>
    <n v="4814493.0999999996"/>
  </r>
  <r>
    <s v="Хабаровский край"/>
    <x v="11"/>
    <x v="15"/>
    <x v="416"/>
    <n v="1949879.1"/>
    <n v="1949879.1"/>
    <n v="1949879.1"/>
  </r>
  <r>
    <s v="Хабаровский край"/>
    <x v="11"/>
    <x v="15"/>
    <x v="381"/>
    <n v="1895848.14"/>
    <n v="1895848.14"/>
    <n v="1895848.14"/>
  </r>
  <r>
    <s v="Хабаровский край"/>
    <x v="11"/>
    <x v="15"/>
    <x v="403"/>
    <n v="505518.06"/>
    <n v="505518.06"/>
    <n v="505518.06"/>
  </r>
  <r>
    <s v="Хабаровский край"/>
    <x v="11"/>
    <x v="15"/>
    <x v="433"/>
    <n v="328860"/>
    <n v="328860"/>
    <n v="328860"/>
  </r>
  <r>
    <s v="Хабаровский край"/>
    <x v="11"/>
    <x v="15"/>
    <x v="397"/>
    <n v="297640.7"/>
    <n v="297640.7"/>
    <n v="297640.7"/>
  </r>
  <r>
    <s v="Хабаровский край"/>
    <x v="11"/>
    <x v="15"/>
    <x v="405"/>
    <n v="246825.07"/>
    <n v="246825.07"/>
    <n v="246825.07"/>
  </r>
  <r>
    <s v="Хабаровский край"/>
    <x v="11"/>
    <x v="15"/>
    <x v="434"/>
    <n v="218659.9"/>
    <n v="218659.9"/>
    <n v="218659.9"/>
  </r>
  <r>
    <s v="Хабаровский край"/>
    <x v="11"/>
    <x v="15"/>
    <x v="424"/>
    <n v="175255.33"/>
    <n v="175255.33"/>
    <n v="175255.33"/>
  </r>
  <r>
    <s v="Хабаровский край"/>
    <x v="11"/>
    <x v="15"/>
    <x v="431"/>
    <n v="145204.95000000001"/>
    <n v="145204.95000000001"/>
    <n v="145204.95000000001"/>
  </r>
  <r>
    <s v="Хабаровский край"/>
    <x v="11"/>
    <x v="15"/>
    <x v="435"/>
    <n v="100052.18"/>
    <n v="100052.18"/>
    <n v="100052.18"/>
  </r>
  <r>
    <s v="Хабаровский край"/>
    <x v="11"/>
    <x v="15"/>
    <x v="436"/>
    <n v="85651.14"/>
    <n v="85651.14"/>
    <n v="85651.14"/>
  </r>
  <r>
    <s v="Хабаровский край"/>
    <x v="11"/>
    <x v="15"/>
    <x v="437"/>
    <n v="69034"/>
    <n v="69034"/>
    <n v="69034"/>
  </r>
  <r>
    <s v="Хабаровский край"/>
    <x v="11"/>
    <x v="15"/>
    <x v="438"/>
    <n v="17210"/>
    <n v="17210"/>
    <n v="17210"/>
  </r>
  <r>
    <s v="Хабаровский край"/>
    <x v="11"/>
    <x v="15"/>
    <x v="439"/>
    <n v="13484.25"/>
    <n v="13484.25"/>
    <n v="13484.25"/>
  </r>
  <r>
    <s v="Хабаровский край"/>
    <x v="11"/>
    <x v="15"/>
    <x v="440"/>
    <n v="10997"/>
    <n v="10997"/>
    <n v="10997"/>
  </r>
  <r>
    <s v="Хабаровский край"/>
    <x v="11"/>
    <x v="15"/>
    <x v="388"/>
    <n v="7560"/>
    <n v="7560"/>
    <n v="7560"/>
  </r>
  <r>
    <s v="Хабаровский край"/>
    <x v="11"/>
    <x v="14"/>
    <x v="441"/>
    <n v="2545160.85"/>
    <n v="2545160.85"/>
    <n v="2545160.85"/>
  </r>
  <r>
    <s v="Хабаровский край"/>
    <x v="11"/>
    <x v="14"/>
    <x v="417"/>
    <n v="1770761.3"/>
    <n v="1770761.3"/>
    <n v="1770761.3"/>
  </r>
  <r>
    <s v="Хабаровский край"/>
    <x v="11"/>
    <x v="14"/>
    <x v="442"/>
    <n v="1619423.98"/>
    <n v="1619423.98"/>
    <n v="1619423.98"/>
  </r>
  <r>
    <s v="Хабаровский край"/>
    <x v="11"/>
    <x v="14"/>
    <x v="443"/>
    <n v="10712"/>
    <n v="10712"/>
    <n v="10712"/>
  </r>
  <r>
    <s v="Хабаровский край"/>
    <x v="11"/>
    <x v="14"/>
    <x v="444"/>
    <n v="6000"/>
    <n v="6000"/>
    <n v="6000"/>
  </r>
  <r>
    <s v="Хабаровский край"/>
    <x v="11"/>
    <x v="14"/>
    <x v="445"/>
    <n v="3698.87"/>
    <n v="3698.87"/>
    <n v="3698.87"/>
  </r>
  <r>
    <s v="Хабаровский край"/>
    <x v="11"/>
    <x v="3"/>
    <x v="446"/>
    <n v="2990970.62"/>
    <n v="2990970.62"/>
    <n v="2990970.62"/>
  </r>
  <r>
    <s v="Хабаровский край"/>
    <x v="11"/>
    <x v="3"/>
    <x v="379"/>
    <n v="2140734.94"/>
    <n v="2140734.94"/>
    <n v="2140734.94"/>
  </r>
  <r>
    <s v="Хабаровский край"/>
    <x v="11"/>
    <x v="12"/>
    <x v="435"/>
    <n v="4699721.59"/>
    <n v="4699721.59"/>
    <n v="4699721.59"/>
  </r>
  <r>
    <s v="Хабаровский край"/>
    <x v="11"/>
    <x v="26"/>
    <x v="447"/>
    <n v="3000000"/>
    <n v="3000000"/>
    <n v="3000000"/>
  </r>
  <r>
    <s v="Хабаровский край"/>
    <x v="11"/>
    <x v="26"/>
    <x v="448"/>
    <n v="1318843.2"/>
    <n v="1318843.2"/>
    <n v="1318843.2"/>
  </r>
  <r>
    <s v="Хабаровский край"/>
    <x v="11"/>
    <x v="26"/>
    <x v="449"/>
    <n v="154685.37"/>
    <n v="154685.37"/>
    <n v="154685.37"/>
  </r>
  <r>
    <s v="Хабаровский край"/>
    <x v="11"/>
    <x v="13"/>
    <x v="380"/>
    <n v="3080291.63"/>
    <n v="3080291.63"/>
    <n v="3080291.63"/>
  </r>
  <r>
    <s v="Хабаровский край"/>
    <x v="11"/>
    <x v="13"/>
    <x v="381"/>
    <n v="856502.01"/>
    <n v="856502.01"/>
    <n v="856502.01"/>
  </r>
  <r>
    <s v="Хабаровский край"/>
    <x v="11"/>
    <x v="13"/>
    <x v="450"/>
    <n v="92208"/>
    <n v="92208"/>
    <n v="92208"/>
  </r>
  <r>
    <s v="Хабаровский край"/>
    <x v="11"/>
    <x v="13"/>
    <x v="451"/>
    <n v="50212.800000000003"/>
    <n v="50212.800000000003"/>
    <n v="50212.800000000003"/>
  </r>
  <r>
    <s v="Хабаровский край"/>
    <x v="11"/>
    <x v="13"/>
    <x v="452"/>
    <n v="8720.4"/>
    <n v="8720.4"/>
    <n v="8720.4"/>
  </r>
  <r>
    <s v="Хабаровский край"/>
    <x v="11"/>
    <x v="1"/>
    <x v="453"/>
    <n v="1300289.54"/>
    <n v="1300289.54"/>
    <n v="1300289.54"/>
  </r>
  <r>
    <s v="Хабаровский край"/>
    <x v="11"/>
    <x v="1"/>
    <x v="454"/>
    <n v="698468.45"/>
    <n v="698468.45"/>
    <n v="698468.45"/>
  </r>
  <r>
    <s v="Хабаровский край"/>
    <x v="11"/>
    <x v="1"/>
    <x v="455"/>
    <n v="184711.1"/>
    <n v="184711.1"/>
    <n v="184711.1"/>
  </r>
  <r>
    <s v="Хабаровский край"/>
    <x v="11"/>
    <x v="1"/>
    <x v="456"/>
    <n v="22701.599999999999"/>
    <n v="22701.599999999999"/>
    <n v="22701.599999999999"/>
  </r>
  <r>
    <s v="Хабаровский край"/>
    <x v="11"/>
    <x v="24"/>
    <x v="422"/>
    <n v="548672"/>
    <n v="548672"/>
    <n v="548672"/>
  </r>
  <r>
    <s v="Хабаровский край"/>
    <x v="11"/>
    <x v="24"/>
    <x v="457"/>
    <n v="534120"/>
    <n v="534120"/>
    <n v="534120"/>
  </r>
  <r>
    <s v="Хабаровский край"/>
    <x v="11"/>
    <x v="24"/>
    <x v="458"/>
    <n v="313475"/>
    <n v="313475"/>
    <n v="313475"/>
  </r>
  <r>
    <s v="Хабаровский край"/>
    <x v="11"/>
    <x v="24"/>
    <x v="459"/>
    <n v="261205.4"/>
    <n v="261205.4"/>
    <n v="261205.4"/>
  </r>
  <r>
    <s v="Хабаровский край"/>
    <x v="11"/>
    <x v="22"/>
    <x v="460"/>
    <n v="277800"/>
    <n v="277800"/>
    <n v="277800"/>
  </r>
  <r>
    <s v="Хабаровский край"/>
    <x v="11"/>
    <x v="22"/>
    <x v="461"/>
    <n v="211360"/>
    <n v="211360"/>
    <n v="211360"/>
  </r>
  <r>
    <s v="Хабаровский край"/>
    <x v="11"/>
    <x v="22"/>
    <x v="458"/>
    <n v="155900"/>
    <n v="155900"/>
    <n v="155900"/>
  </r>
  <r>
    <s v="Хабаровский край"/>
    <x v="11"/>
    <x v="22"/>
    <x v="462"/>
    <n v="82320"/>
    <n v="82320"/>
    <n v="82320"/>
  </r>
  <r>
    <s v="Хабаровский край"/>
    <x v="11"/>
    <x v="10"/>
    <x v="463"/>
    <n v="566435.81999999995"/>
    <n v="566435.81999999995"/>
    <n v="566435.81999999995"/>
  </r>
  <r>
    <s v="Хабаровский край"/>
    <x v="11"/>
    <x v="23"/>
    <x v="416"/>
    <n v="285906.68"/>
    <n v="285906.68"/>
    <n v="285906.68"/>
  </r>
  <r>
    <s v="Хабаровский край"/>
    <x v="11"/>
    <x v="19"/>
    <x v="464"/>
    <n v="206550"/>
    <n v="206550"/>
    <n v="206550"/>
  </r>
  <r>
    <s v="Хабаровский край"/>
    <x v="11"/>
    <x v="17"/>
    <x v="465"/>
    <n v="62666"/>
    <n v="62666"/>
    <n v="62666"/>
  </r>
  <r>
    <s v="Хабаровский край"/>
    <x v="11"/>
    <x v="17"/>
    <x v="466"/>
    <n v="36811.040000000001"/>
    <n v="36811.040000000001"/>
    <n v="36811.040000000001"/>
  </r>
  <r>
    <s v="Хабаровский край"/>
    <x v="11"/>
    <x v="17"/>
    <x v="467"/>
    <n v="30186"/>
    <n v="30186"/>
    <n v="30186"/>
  </r>
  <r>
    <s v="Хабаровский край"/>
    <x v="11"/>
    <x v="17"/>
    <x v="468"/>
    <n v="504"/>
    <n v="504"/>
    <n v="504"/>
  </r>
  <r>
    <s v="Хабаровский край"/>
    <x v="11"/>
    <x v="17"/>
    <x v="469"/>
    <n v="459"/>
    <n v="459"/>
    <n v="459"/>
  </r>
  <r>
    <s v="Хабаровский край"/>
    <x v="11"/>
    <x v="20"/>
    <x v="470"/>
    <n v="58433.48"/>
    <n v="58433.48"/>
    <n v="58433.48"/>
  </r>
  <r>
    <s v="Хабаровский край"/>
    <x v="11"/>
    <x v="20"/>
    <x v="471"/>
    <n v="209"/>
    <n v="209"/>
    <n v="209"/>
  </r>
  <r>
    <s v="Чукотский АО"/>
    <x v="12"/>
    <x v="5"/>
    <x v="472"/>
    <n v="58988"/>
    <n v="58988"/>
    <n v="58988"/>
  </r>
  <r>
    <s v="Приморский край"/>
    <x v="13"/>
    <x v="18"/>
    <x v="473"/>
    <n v="83366587.659999996"/>
    <n v="83366587.659999996"/>
    <n v="83366587.659999996"/>
  </r>
  <r>
    <s v="Приморский край"/>
    <x v="13"/>
    <x v="18"/>
    <x v="474"/>
    <n v="8971381.9000000004"/>
    <n v="8971381.9000000004"/>
    <n v="8971381.9000000004"/>
  </r>
  <r>
    <s v="Приморский край"/>
    <x v="13"/>
    <x v="4"/>
    <x v="473"/>
    <n v="51785130.68"/>
    <n v="51785130.68"/>
    <n v="51785130.68"/>
  </r>
  <r>
    <s v="Приморский край"/>
    <x v="13"/>
    <x v="4"/>
    <x v="475"/>
    <n v="12056238.800000001"/>
    <n v="12056238.800000001"/>
    <n v="12056238.800000001"/>
  </r>
  <r>
    <s v="Приморский край"/>
    <x v="13"/>
    <x v="4"/>
    <x v="476"/>
    <n v="1134282.72"/>
    <n v="1134282.72"/>
    <n v="1134282.72"/>
  </r>
  <r>
    <s v="Приморский край"/>
    <x v="13"/>
    <x v="2"/>
    <x v="477"/>
    <n v="61220808"/>
    <n v="61220808"/>
    <n v="61220808"/>
  </r>
  <r>
    <s v="Приморский край"/>
    <x v="13"/>
    <x v="28"/>
    <x v="478"/>
    <n v="49863475.200000003"/>
    <n v="49863475.200000003"/>
    <n v="49863475.200000003"/>
  </r>
  <r>
    <s v="Приморский край"/>
    <x v="13"/>
    <x v="5"/>
    <x v="473"/>
    <n v="10952117.74"/>
    <n v="10952117.74"/>
    <n v="10952117.74"/>
  </r>
  <r>
    <s v="Приморский край"/>
    <x v="13"/>
    <x v="5"/>
    <x v="479"/>
    <n v="10371635.380000001"/>
    <n v="10371635.380000001"/>
    <n v="10371635.380000001"/>
  </r>
  <r>
    <s v="Приморский край"/>
    <x v="13"/>
    <x v="5"/>
    <x v="480"/>
    <n v="8602863.2400000002"/>
    <n v="8602863.2400000002"/>
    <n v="8602863.2400000002"/>
  </r>
  <r>
    <s v="Приморский край"/>
    <x v="13"/>
    <x v="5"/>
    <x v="481"/>
    <n v="3857206.62"/>
    <n v="3857206.62"/>
    <n v="3857206.62"/>
  </r>
  <r>
    <s v="Приморский край"/>
    <x v="13"/>
    <x v="5"/>
    <x v="482"/>
    <n v="3711262.27"/>
    <n v="3711262.27"/>
    <n v="3711262.27"/>
  </r>
  <r>
    <s v="Приморский край"/>
    <x v="13"/>
    <x v="5"/>
    <x v="483"/>
    <n v="2705715.66"/>
    <n v="2705715.66"/>
    <n v="2705715.66"/>
  </r>
  <r>
    <s v="Приморский край"/>
    <x v="13"/>
    <x v="5"/>
    <x v="484"/>
    <n v="1444359.04"/>
    <n v="1444359.04"/>
    <n v="1444359.04"/>
  </r>
  <r>
    <s v="Приморский край"/>
    <x v="13"/>
    <x v="5"/>
    <x v="485"/>
    <n v="253494.26"/>
    <n v="253494.26"/>
    <n v="253494.26"/>
  </r>
  <r>
    <s v="Приморский край"/>
    <x v="13"/>
    <x v="5"/>
    <x v="486"/>
    <n v="135049.57"/>
    <n v="135049.57"/>
    <n v="135049.57"/>
  </r>
  <r>
    <s v="Приморский край"/>
    <x v="13"/>
    <x v="1"/>
    <x v="487"/>
    <n v="15937913.25"/>
    <n v="15937913.25"/>
    <n v="15937913.25"/>
  </r>
  <r>
    <s v="Приморский край"/>
    <x v="13"/>
    <x v="1"/>
    <x v="488"/>
    <n v="6849899.0599999996"/>
    <n v="6849899.0599999996"/>
    <n v="6849899.0599999996"/>
  </r>
  <r>
    <s v="Приморский край"/>
    <x v="13"/>
    <x v="29"/>
    <x v="478"/>
    <n v="22659704.199999999"/>
    <n v="22659704.199999999"/>
    <n v="22659704.199999999"/>
  </r>
  <r>
    <s v="Приморский край"/>
    <x v="13"/>
    <x v="8"/>
    <x v="489"/>
    <n v="17523646.559999999"/>
    <n v="17523646.559999999"/>
    <n v="17523646.559999999"/>
  </r>
  <r>
    <s v="Приморский край"/>
    <x v="13"/>
    <x v="8"/>
    <x v="473"/>
    <n v="3115411.75"/>
    <n v="3115411.75"/>
    <n v="3115411.75"/>
  </r>
  <r>
    <s v="Приморский край"/>
    <x v="13"/>
    <x v="8"/>
    <x v="490"/>
    <n v="92544.76"/>
    <n v="92544.76"/>
    <n v="92544.76"/>
  </r>
  <r>
    <s v="Приморский край"/>
    <x v="13"/>
    <x v="8"/>
    <x v="491"/>
    <n v="600"/>
    <n v="600"/>
    <n v="600"/>
  </r>
  <r>
    <s v="Приморский край"/>
    <x v="13"/>
    <x v="7"/>
    <x v="492"/>
    <n v="6943251.4400000004"/>
    <n v="6943251.4400000004"/>
    <n v="6943251.4400000004"/>
  </r>
  <r>
    <s v="Приморский край"/>
    <x v="13"/>
    <x v="7"/>
    <x v="488"/>
    <n v="5667369.7400000002"/>
    <n v="5667369.7400000002"/>
    <n v="5667369.7400000002"/>
  </r>
  <r>
    <s v="Приморский край"/>
    <x v="13"/>
    <x v="7"/>
    <x v="493"/>
    <n v="2733807.05"/>
    <n v="2733807.05"/>
    <n v="2733807.05"/>
  </r>
  <r>
    <s v="Приморский край"/>
    <x v="13"/>
    <x v="7"/>
    <x v="482"/>
    <n v="2040732.05"/>
    <n v="2040732.05"/>
    <n v="2040732.05"/>
  </r>
  <r>
    <s v="Приморский край"/>
    <x v="13"/>
    <x v="6"/>
    <x v="494"/>
    <n v="10746548.82"/>
    <n v="10746548.82"/>
    <n v="10746548.82"/>
  </r>
  <r>
    <s v="Приморский край"/>
    <x v="13"/>
    <x v="6"/>
    <x v="474"/>
    <n v="2677153.4300000002"/>
    <n v="2677153.4300000002"/>
    <n v="2677153.4300000002"/>
  </r>
  <r>
    <s v="Приморский край"/>
    <x v="13"/>
    <x v="6"/>
    <x v="495"/>
    <n v="1669790.93"/>
    <n v="1669790.93"/>
    <n v="1669790.93"/>
  </r>
  <r>
    <s v="Приморский край"/>
    <x v="13"/>
    <x v="6"/>
    <x v="482"/>
    <n v="1666046.09"/>
    <n v="1666046.09"/>
    <n v="1666046.09"/>
  </r>
  <r>
    <s v="Приморский край"/>
    <x v="13"/>
    <x v="6"/>
    <x v="496"/>
    <n v="190664.47"/>
    <n v="190664.47"/>
    <n v="190664.47"/>
  </r>
  <r>
    <s v="Приморский край"/>
    <x v="13"/>
    <x v="6"/>
    <x v="497"/>
    <n v="29469"/>
    <n v="29469"/>
    <n v="29469"/>
  </r>
  <r>
    <s v="Приморский край"/>
    <x v="13"/>
    <x v="3"/>
    <x v="482"/>
    <n v="13111685.689999999"/>
    <n v="13111685.689999999"/>
    <n v="13111685.689999999"/>
  </r>
  <r>
    <s v="Приморский край"/>
    <x v="13"/>
    <x v="3"/>
    <x v="485"/>
    <n v="286527.94"/>
    <n v="286527.94"/>
    <n v="286527.94"/>
  </r>
  <r>
    <s v="Приморский край"/>
    <x v="13"/>
    <x v="30"/>
    <x v="478"/>
    <n v="9890583"/>
    <n v="9890583"/>
    <n v="9890583"/>
  </r>
  <r>
    <s v="Приморский край"/>
    <x v="13"/>
    <x v="13"/>
    <x v="493"/>
    <n v="2839915.26"/>
    <n v="2839915.26"/>
    <n v="2839915.26"/>
  </r>
  <r>
    <s v="Приморский край"/>
    <x v="13"/>
    <x v="13"/>
    <x v="498"/>
    <n v="2121846.5499999998"/>
    <n v="2121846.5499999998"/>
    <n v="2121846.5499999998"/>
  </r>
  <r>
    <s v="Приморский край"/>
    <x v="13"/>
    <x v="13"/>
    <x v="499"/>
    <n v="1249287.8400000001"/>
    <n v="1249287.8400000001"/>
    <n v="1249287.8400000001"/>
  </r>
  <r>
    <s v="Приморский край"/>
    <x v="13"/>
    <x v="13"/>
    <x v="500"/>
    <n v="1075370.58"/>
    <n v="1075370.58"/>
    <n v="1075370.58"/>
  </r>
  <r>
    <s v="Приморский край"/>
    <x v="13"/>
    <x v="13"/>
    <x v="473"/>
    <n v="750668.58"/>
    <n v="750668.58"/>
    <n v="750668.58"/>
  </r>
  <r>
    <s v="Приморский край"/>
    <x v="13"/>
    <x v="10"/>
    <x v="501"/>
    <n v="6687310.7599999998"/>
    <n v="6687310.7599999998"/>
    <n v="6687310.7599999998"/>
  </r>
  <r>
    <s v="Приморский край"/>
    <x v="13"/>
    <x v="31"/>
    <x v="475"/>
    <n v="3838153"/>
    <n v="3838153"/>
    <n v="3838153"/>
  </r>
  <r>
    <s v="Приморский край"/>
    <x v="13"/>
    <x v="31"/>
    <x v="502"/>
    <n v="1982927"/>
    <n v="1982927"/>
    <n v="1982927"/>
  </r>
  <r>
    <s v="Приморский край"/>
    <x v="13"/>
    <x v="31"/>
    <x v="503"/>
    <n v="522180"/>
    <n v="522180"/>
    <n v="522180"/>
  </r>
  <r>
    <s v="Приморский край"/>
    <x v="13"/>
    <x v="9"/>
    <x v="504"/>
    <n v="3870383.9"/>
    <n v="3870383.9"/>
    <n v="3870383.9"/>
  </r>
  <r>
    <s v="Приморский край"/>
    <x v="13"/>
    <x v="9"/>
    <x v="505"/>
    <n v="2260965.94"/>
    <n v="2260965.94"/>
    <n v="2260965.94"/>
  </r>
  <r>
    <s v="Приморский край"/>
    <x v="13"/>
    <x v="11"/>
    <x v="500"/>
    <n v="1918320.6"/>
    <n v="1918320.6"/>
    <n v="1918320.6"/>
  </r>
  <r>
    <s v="Приморский край"/>
    <x v="13"/>
    <x v="16"/>
    <x v="506"/>
    <n v="1767709"/>
    <n v="1767709"/>
    <n v="1767709"/>
  </r>
  <r>
    <s v="Приморский край"/>
    <x v="13"/>
    <x v="15"/>
    <x v="507"/>
    <n v="1223684.31"/>
    <n v="1223684.31"/>
    <n v="1223684.31"/>
  </r>
  <r>
    <s v="Приморский край"/>
    <x v="13"/>
    <x v="15"/>
    <x v="505"/>
    <n v="101479.97"/>
    <n v="101479.97"/>
    <n v="101479.97"/>
  </r>
  <r>
    <s v="Приморский край"/>
    <x v="13"/>
    <x v="15"/>
    <x v="488"/>
    <n v="93948"/>
    <n v="93948"/>
    <n v="93948"/>
  </r>
  <r>
    <s v="Приморский край"/>
    <x v="13"/>
    <x v="15"/>
    <x v="479"/>
    <n v="83208"/>
    <n v="83208"/>
    <n v="83208"/>
  </r>
  <r>
    <s v="Приморский край"/>
    <x v="13"/>
    <x v="25"/>
    <x v="508"/>
    <n v="1192156.08"/>
    <n v="1192156.08"/>
    <n v="1192156.08"/>
  </r>
  <r>
    <s v="Приморский край"/>
    <x v="13"/>
    <x v="32"/>
    <x v="509"/>
    <n v="748096.08"/>
    <n v="748096.08"/>
    <n v="748096.08"/>
  </r>
  <r>
    <s v="Приморский край"/>
    <x v="13"/>
    <x v="32"/>
    <x v="510"/>
    <n v="94919.97"/>
    <n v="94919.97"/>
    <n v="94919.97"/>
  </r>
  <r>
    <s v="Приморский край"/>
    <x v="13"/>
    <x v="32"/>
    <x v="511"/>
    <n v="21420.47"/>
    <n v="21420.47"/>
    <n v="21420.47"/>
  </r>
  <r>
    <s v="Приморский край"/>
    <x v="13"/>
    <x v="33"/>
    <x v="512"/>
    <n v="800000"/>
    <n v="800000"/>
    <n v="800000"/>
  </r>
  <r>
    <s v="Приморский край"/>
    <x v="13"/>
    <x v="26"/>
    <x v="513"/>
    <n v="721354.75"/>
    <n v="721354.75"/>
    <n v="721354.75"/>
  </r>
  <r>
    <s v="Приморский край"/>
    <x v="13"/>
    <x v="14"/>
    <x v="514"/>
    <n v="87085.64"/>
    <n v="87085.64"/>
    <n v="87085.64"/>
  </r>
  <r>
    <s v="Приморский край"/>
    <x v="13"/>
    <x v="20"/>
    <x v="515"/>
    <n v="49814.46"/>
    <n v="49814.46"/>
    <n v="49814.46"/>
  </r>
  <r>
    <s v="Приморский край"/>
    <x v="13"/>
    <x v="17"/>
    <x v="516"/>
    <n v="973"/>
    <n v="973"/>
    <n v="9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5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6" indent="0" outline="1" outlineData="1" multipleFieldFilters="0">
  <location ref="A3:B80" firstHeaderRow="1" firstDataRow="1" firstDataCol="1"/>
  <pivotFields count="7">
    <pivotField showAll="0"/>
    <pivotField axis="axisRow" showAll="0">
      <items count="15">
        <item sd="0" x="2"/>
        <item sd="0" x="3"/>
        <item sd="0" x="4"/>
        <item sd="0" x="0"/>
        <item sd="0" x="5"/>
        <item sd="0" x="6"/>
        <item sd="0" x="1"/>
        <item sd="0" x="7"/>
        <item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35">
        <item x="6"/>
        <item x="26"/>
        <item x="9"/>
        <item x="14"/>
        <item x="0"/>
        <item x="12"/>
        <item x="21"/>
        <item x="20"/>
        <item x="22"/>
        <item x="2"/>
        <item x="5"/>
        <item x="24"/>
        <item x="11"/>
        <item x="13"/>
        <item x="27"/>
        <item x="15"/>
        <item x="25"/>
        <item x="17"/>
        <item x="19"/>
        <item x="4"/>
        <item x="1"/>
        <item x="3"/>
        <item x="16"/>
        <item x="7"/>
        <item x="23"/>
        <item x="18"/>
        <item x="10"/>
        <item x="8"/>
        <item x="28"/>
        <item x="29"/>
        <item x="30"/>
        <item x="31"/>
        <item x="32"/>
        <item x="33"/>
        <item t="default"/>
      </items>
    </pivotField>
    <pivotField axis="axisRow" showAll="0">
      <items count="518">
        <item x="145"/>
        <item x="306"/>
        <item x="318"/>
        <item x="343"/>
        <item x="4"/>
        <item x="237"/>
        <item x="300"/>
        <item x="235"/>
        <item x="454"/>
        <item x="60"/>
        <item x="408"/>
        <item x="414"/>
        <item x="388"/>
        <item x="452"/>
        <item x="464"/>
        <item x="451"/>
        <item x="200"/>
        <item x="445"/>
        <item x="311"/>
        <item x="341"/>
        <item x="6"/>
        <item x="101"/>
        <item x="412"/>
        <item x="21"/>
        <item x="114"/>
        <item x="372"/>
        <item x="112"/>
        <item x="381"/>
        <item x="328"/>
        <item x="216"/>
        <item x="398"/>
        <item x="352"/>
        <item x="329"/>
        <item x="93"/>
        <item x="183"/>
        <item x="83"/>
        <item x="103"/>
        <item x="453"/>
        <item x="111"/>
        <item x="185"/>
        <item x="131"/>
        <item x="267"/>
        <item x="261"/>
        <item x="437"/>
        <item x="134"/>
        <item x="392"/>
        <item x="322"/>
        <item x="82"/>
        <item x="402"/>
        <item x="215"/>
        <item x="391"/>
        <item x="50"/>
        <item x="61"/>
        <item x="236"/>
        <item x="224"/>
        <item x="294"/>
        <item x="309"/>
        <item x="270"/>
        <item x="94"/>
        <item x="79"/>
        <item x="379"/>
        <item x="253"/>
        <item x="373"/>
        <item x="18"/>
        <item x="125"/>
        <item x="115"/>
        <item x="310"/>
        <item x="312"/>
        <item x="349"/>
        <item x="262"/>
        <item x="469"/>
        <item x="99"/>
        <item x="96"/>
        <item x="278"/>
        <item x="171"/>
        <item x="118"/>
        <item x="139"/>
        <item x="334"/>
        <item x="336"/>
        <item x="87"/>
        <item x="217"/>
        <item x="368"/>
        <item x="339"/>
        <item x="161"/>
        <item x="291"/>
        <item x="106"/>
        <item x="289"/>
        <item x="147"/>
        <item x="358"/>
        <item x="36"/>
        <item x="231"/>
        <item x="424"/>
        <item x="44"/>
        <item x="308"/>
        <item x="128"/>
        <item x="74"/>
        <item x="52"/>
        <item x="20"/>
        <item x="246"/>
        <item x="337"/>
        <item x="7"/>
        <item x="19"/>
        <item x="192"/>
        <item x="260"/>
        <item x="163"/>
        <item x="126"/>
        <item x="252"/>
        <item x="201"/>
        <item x="137"/>
        <item x="122"/>
        <item x="404"/>
        <item x="348"/>
        <item x="218"/>
        <item x="175"/>
        <item x="48"/>
        <item x="423"/>
        <item x="205"/>
        <item x="11"/>
        <item x="230"/>
        <item x="5"/>
        <item x="256"/>
        <item x="14"/>
        <item x="108"/>
        <item x="107"/>
        <item x="399"/>
        <item x="413"/>
        <item x="72"/>
        <item x="411"/>
        <item x="225"/>
        <item x="272"/>
        <item x="104"/>
        <item x="226"/>
        <item x="321"/>
        <item x="248"/>
        <item x="396"/>
        <item x="209"/>
        <item x="345"/>
        <item x="193"/>
        <item x="227"/>
        <item x="332"/>
        <item x="49"/>
        <item x="297"/>
        <item x="34"/>
        <item x="316"/>
        <item x="305"/>
        <item x="363"/>
        <item x="9"/>
        <item x="130"/>
        <item x="59"/>
        <item x="222"/>
        <item x="263"/>
        <item x="127"/>
        <item x="347"/>
        <item x="313"/>
        <item x="416"/>
        <item x="265"/>
        <item x="299"/>
        <item x="140"/>
        <item x="403"/>
        <item x="432"/>
        <item x="247"/>
        <item x="77"/>
        <item x="264"/>
        <item x="290"/>
        <item x="351"/>
        <item x="141"/>
        <item x="285"/>
        <item x="422"/>
        <item x="16"/>
        <item x="55"/>
        <item x="296"/>
        <item x="58"/>
        <item x="146"/>
        <item x="419"/>
        <item x="370"/>
        <item x="355"/>
        <item x="166"/>
        <item x="356"/>
        <item x="281"/>
        <item x="202"/>
        <item x="204"/>
        <item x="22"/>
        <item x="76"/>
        <item x="449"/>
        <item x="465"/>
        <item x="455"/>
        <item x="389"/>
        <item x="160"/>
        <item x="179"/>
        <item x="456"/>
        <item x="156"/>
        <item x="178"/>
        <item x="194"/>
        <item x="42"/>
        <item x="2"/>
        <item x="307"/>
        <item x="258"/>
        <item x="240"/>
        <item x="266"/>
        <item x="269"/>
        <item x="323"/>
        <item x="105"/>
        <item x="67"/>
        <item x="365"/>
        <item x="382"/>
        <item x="75"/>
        <item x="418"/>
        <item x="15"/>
        <item x="242"/>
        <item x="70"/>
        <item x="304"/>
        <item x="243"/>
        <item x="168"/>
        <item x="362"/>
        <item x="241"/>
        <item x="295"/>
        <item x="177"/>
        <item x="85"/>
        <item x="12"/>
        <item x="92"/>
        <item x="43"/>
        <item x="152"/>
        <item x="466"/>
        <item x="109"/>
        <item x="214"/>
        <item x="208"/>
        <item x="62"/>
        <item x="151"/>
        <item x="191"/>
        <item x="220"/>
        <item x="190"/>
        <item x="148"/>
        <item x="461"/>
        <item x="23"/>
        <item x="198"/>
        <item x="462"/>
        <item x="386"/>
        <item x="301"/>
        <item x="259"/>
        <item x="212"/>
        <item x="395"/>
        <item x="442"/>
        <item x="280"/>
        <item x="383"/>
        <item x="440"/>
        <item x="406"/>
        <item x="196"/>
        <item x="172"/>
        <item x="378"/>
        <item x="199"/>
        <item x="430"/>
        <item x="426"/>
        <item x="91"/>
        <item x="471"/>
        <item x="457"/>
        <item x="401"/>
        <item x="154"/>
        <item x="78"/>
        <item x="150"/>
        <item x="13"/>
        <item x="472"/>
        <item x="467"/>
        <item x="32"/>
        <item x="421"/>
        <item x="443"/>
        <item x="64"/>
        <item x="30"/>
        <item x="369"/>
        <item x="346"/>
        <item x="433"/>
        <item x="438"/>
        <item x="441"/>
        <item x="206"/>
        <item x="279"/>
        <item x="344"/>
        <item x="292"/>
        <item x="377"/>
        <item x="366"/>
        <item x="221"/>
        <item x="400"/>
        <item x="119"/>
        <item x="393"/>
        <item x="387"/>
        <item x="69"/>
        <item x="73"/>
        <item x="435"/>
        <item x="169"/>
        <item x="410"/>
        <item x="133"/>
        <item x="431"/>
        <item x="26"/>
        <item x="470"/>
        <item x="293"/>
        <item x="121"/>
        <item x="376"/>
        <item x="153"/>
        <item x="342"/>
        <item x="132"/>
        <item x="80"/>
        <item x="375"/>
        <item x="136"/>
        <item x="124"/>
        <item x="361"/>
        <item x="284"/>
        <item x="439"/>
        <item x="27"/>
        <item x="120"/>
        <item x="197"/>
        <item x="170"/>
        <item x="51"/>
        <item x="359"/>
        <item x="244"/>
        <item x="271"/>
        <item x="463"/>
        <item x="207"/>
        <item x="116"/>
        <item x="25"/>
        <item x="84"/>
        <item x="95"/>
        <item x="100"/>
        <item x="415"/>
        <item x="135"/>
        <item x="276"/>
        <item x="446"/>
        <item x="407"/>
        <item x="180"/>
        <item x="458"/>
        <item x="68"/>
        <item x="364"/>
        <item x="420"/>
        <item x="187"/>
        <item x="233"/>
        <item x="98"/>
        <item x="17"/>
        <item x="374"/>
        <item x="176"/>
        <item x="159"/>
        <item x="167"/>
        <item x="239"/>
        <item x="41"/>
        <item x="143"/>
        <item x="223"/>
        <item x="66"/>
        <item x="338"/>
        <item x="63"/>
        <item x="164"/>
        <item x="287"/>
        <item x="181"/>
        <item x="113"/>
        <item x="158"/>
        <item x="184"/>
        <item x="195"/>
        <item x="203"/>
        <item x="385"/>
        <item x="210"/>
        <item x="367"/>
        <item x="286"/>
        <item x="298"/>
        <item x="417"/>
        <item x="188"/>
        <item x="213"/>
        <item x="384"/>
        <item x="459"/>
        <item x="460"/>
        <item x="88"/>
        <item x="353"/>
        <item x="90"/>
        <item x="450"/>
        <item x="53"/>
        <item x="282"/>
        <item x="409"/>
        <item x="54"/>
        <item x="28"/>
        <item x="268"/>
        <item x="274"/>
        <item x="275"/>
        <item x="340"/>
        <item x="326"/>
        <item x="219"/>
        <item x="189"/>
        <item x="283"/>
        <item x="397"/>
        <item x="162"/>
        <item x="251"/>
        <item x="436"/>
        <item x="129"/>
        <item x="89"/>
        <item x="277"/>
        <item x="142"/>
        <item x="354"/>
        <item x="427"/>
        <item x="249"/>
        <item x="234"/>
        <item x="331"/>
        <item x="371"/>
        <item x="448"/>
        <item x="33"/>
        <item x="81"/>
        <item x="357"/>
        <item x="333"/>
        <item x="444"/>
        <item x="149"/>
        <item x="314"/>
        <item x="40"/>
        <item x="71"/>
        <item x="350"/>
        <item x="327"/>
        <item x="157"/>
        <item x="173"/>
        <item x="211"/>
        <item x="315"/>
        <item x="123"/>
        <item x="257"/>
        <item x="102"/>
        <item x="37"/>
        <item x="38"/>
        <item x="319"/>
        <item x="232"/>
        <item x="24"/>
        <item x="57"/>
        <item x="229"/>
        <item x="29"/>
        <item x="434"/>
        <item x="10"/>
        <item x="254"/>
        <item x="65"/>
        <item x="380"/>
        <item x="317"/>
        <item x="228"/>
        <item x="3"/>
        <item x="31"/>
        <item x="245"/>
        <item x="8"/>
        <item x="303"/>
        <item x="250"/>
        <item x="335"/>
        <item x="325"/>
        <item x="45"/>
        <item x="110"/>
        <item x="302"/>
        <item x="174"/>
        <item x="238"/>
        <item x="1"/>
        <item x="390"/>
        <item x="165"/>
        <item x="360"/>
        <item x="138"/>
        <item x="47"/>
        <item x="35"/>
        <item x="155"/>
        <item x="182"/>
        <item x="186"/>
        <item x="97"/>
        <item x="320"/>
        <item x="447"/>
        <item x="425"/>
        <item x="428"/>
        <item x="56"/>
        <item x="394"/>
        <item x="86"/>
        <item x="288"/>
        <item x="46"/>
        <item x="468"/>
        <item x="39"/>
        <item x="117"/>
        <item x="144"/>
        <item x="255"/>
        <item x="405"/>
        <item x="273"/>
        <item x="324"/>
        <item x="0"/>
        <item x="330"/>
        <item x="429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t="default"/>
      </items>
    </pivotField>
    <pivotField dataField="1" numFmtId="4" showAll="0"/>
    <pivotField numFmtId="4" showAll="0"/>
    <pivotField numFmtId="4" showAll="0"/>
  </pivotFields>
  <rowFields count="3">
    <field x="1"/>
    <field x="2"/>
    <field x="3"/>
  </rowFields>
  <rowItems count="7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r="1">
      <x/>
    </i>
    <i r="2">
      <x v="19"/>
    </i>
    <i r="2">
      <x v="56"/>
    </i>
    <i r="2">
      <x v="376"/>
    </i>
    <i r="1">
      <x v="3"/>
    </i>
    <i r="2">
      <x v="296"/>
    </i>
    <i r="1">
      <x v="8"/>
    </i>
    <i r="2">
      <x v="152"/>
    </i>
    <i r="1">
      <x v="9"/>
    </i>
    <i r="2">
      <x v="82"/>
    </i>
    <i r="2">
      <x v="343"/>
    </i>
    <i r="1">
      <x v="10"/>
    </i>
    <i r="2">
      <x v="2"/>
    </i>
    <i r="2">
      <x v="18"/>
    </i>
    <i r="2">
      <x v="46"/>
    </i>
    <i r="2">
      <x v="56"/>
    </i>
    <i r="2">
      <x v="66"/>
    </i>
    <i r="2">
      <x v="67"/>
    </i>
    <i r="2">
      <x v="132"/>
    </i>
    <i r="2">
      <x v="143"/>
    </i>
    <i r="2">
      <x v="153"/>
    </i>
    <i r="2">
      <x v="200"/>
    </i>
    <i r="2">
      <x v="377"/>
    </i>
    <i r="2">
      <x v="402"/>
    </i>
    <i r="2">
      <x v="406"/>
    </i>
    <i r="2">
      <x v="410"/>
    </i>
    <i r="2">
      <x v="416"/>
    </i>
    <i r="2">
      <x v="427"/>
    </i>
    <i r="2">
      <x v="436"/>
    </i>
    <i r="2">
      <x v="453"/>
    </i>
    <i r="2">
      <x v="469"/>
    </i>
    <i r="1">
      <x v="11"/>
    </i>
    <i r="2">
      <x v="268"/>
    </i>
    <i r="1">
      <x v="12"/>
    </i>
    <i r="2">
      <x v="274"/>
    </i>
    <i r="1">
      <x v="13"/>
    </i>
    <i r="2">
      <x v="402"/>
    </i>
    <i r="1">
      <x v="15"/>
    </i>
    <i r="2">
      <x v="136"/>
    </i>
    <i r="1">
      <x v="19"/>
    </i>
    <i r="2">
      <x v="18"/>
    </i>
    <i r="2">
      <x v="28"/>
    </i>
    <i r="2">
      <x v="32"/>
    </i>
    <i r="2">
      <x v="56"/>
    </i>
    <i r="2">
      <x v="77"/>
    </i>
    <i r="2">
      <x v="139"/>
    </i>
    <i r="2">
      <x v="393"/>
    </i>
    <i r="2">
      <x v="399"/>
    </i>
    <i r="2">
      <x v="471"/>
    </i>
    <i r="1">
      <x v="21"/>
    </i>
    <i r="2">
      <x v="435"/>
    </i>
    <i r="1">
      <x v="22"/>
    </i>
    <i r="2">
      <x v="3"/>
    </i>
    <i r="1">
      <x v="23"/>
    </i>
    <i r="2">
      <x v="56"/>
    </i>
    <i r="2">
      <x v="435"/>
    </i>
    <i r="1">
      <x v="24"/>
    </i>
    <i r="2">
      <x v="274"/>
    </i>
    <i r="1">
      <x v="25"/>
    </i>
    <i r="2">
      <x v="78"/>
    </i>
    <i r="2">
      <x v="99"/>
    </i>
    <i r="2">
      <x v="139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Сумма по полю Выручка рынок" fld="4" baseField="0" baseItem="0" numFmtId="164"/>
  </dataFields>
  <formats count="12">
    <format dxfId="124">
      <pivotArea outline="0" collapsedLevelsAreSubtotals="1" fieldPosition="0"/>
    </format>
    <format dxfId="123">
      <pivotArea dataOnly="0" labelOnly="1" outline="0" axis="axisValues" fieldPosition="0"/>
    </format>
    <format dxfId="122">
      <pivotArea collapsedLevelsAreSubtotals="1" fieldPosition="0">
        <references count="1">
          <reference field="1" count="1">
            <x v="13"/>
          </reference>
        </references>
      </pivotArea>
    </format>
    <format dxfId="121">
      <pivotArea dataOnly="0" labelOnly="1" fieldPosition="0">
        <references count="1">
          <reference field="1" count="1">
            <x v="13"/>
          </reference>
        </references>
      </pivotArea>
    </format>
    <format dxfId="120">
      <pivotArea collapsedLevelsAreSubtotals="1" fieldPosition="0">
        <references count="1">
          <reference field="1" count="1">
            <x v="12"/>
          </reference>
        </references>
      </pivotArea>
    </format>
    <format dxfId="119">
      <pivotArea dataOnly="0" labelOnly="1" fieldPosition="0">
        <references count="1">
          <reference field="1" count="1">
            <x v="12"/>
          </reference>
        </references>
      </pivotArea>
    </format>
    <format dxfId="118">
      <pivotArea collapsedLevelsAreSubtotals="1" fieldPosition="0">
        <references count="1">
          <reference field="1" count="1">
            <x v="11"/>
          </reference>
        </references>
      </pivotArea>
    </format>
    <format dxfId="117">
      <pivotArea dataOnly="0" labelOnly="1" fieldPosition="0">
        <references count="1">
          <reference field="1" count="1">
            <x v="11"/>
          </reference>
        </references>
      </pivotArea>
    </format>
    <format dxfId="116">
      <pivotArea collapsedLevelsAreSubtotals="1" fieldPosition="0">
        <references count="1">
          <reference field="1" count="1">
            <x v="10"/>
          </reference>
        </references>
      </pivotArea>
    </format>
    <format dxfId="115">
      <pivotArea dataOnly="0" labelOnly="1" fieldPosition="0">
        <references count="1">
          <reference field="1" count="1">
            <x v="10"/>
          </reference>
        </references>
      </pivotArea>
    </format>
    <format dxfId="114">
      <pivotArea collapsedLevelsAreSubtotals="1" fieldPosition="0">
        <references count="1">
          <reference field="1" count="1">
            <x v="9"/>
          </reference>
        </references>
      </pivotArea>
    </format>
    <format dxfId="113">
      <pivotArea dataOnly="0" labelOnly="1" fieldPosition="0">
        <references count="1">
          <reference field="1" count="1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9">
    <queryTableFields count="7">
      <queryTableField id="1" name="География" tableColumnId="1"/>
      <queryTableField id="2" name="География (объединение)" tableColumnId="2"/>
      <queryTableField id="3" name="Производитель" tableColumnId="3"/>
      <queryTableField id="4" name="Контрагент" tableColumnId="4"/>
      <queryTableField id="5" name="Выручка рынок" tableColumnId="5"/>
      <queryTableField id="7" name="LTV конкурентов" tableColumnId="7"/>
      <queryTableField id="8" name="LTV контрагента" tableColumnId="8"/>
    </queryTableFields>
    <queryTableDeletedFields count="1">
      <deletedField name="% выручка рынок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Таблица_Краски_xlsx" displayName="Таблица_Краски_xlsx" ref="A1:G651" tableType="queryTable" totalsRowShown="0">
  <autoFilter ref="A1:G651"/>
  <tableColumns count="7">
    <tableColumn id="1" uniqueName="1" name="География" queryTableFieldId="1" dataDxfId="131"/>
    <tableColumn id="2" uniqueName="2" name="География (объединение)" queryTableFieldId="2" dataDxfId="130"/>
    <tableColumn id="3" uniqueName="3" name="Производитель" queryTableFieldId="3" dataDxfId="129"/>
    <tableColumn id="4" uniqueName="4" name="Контрагент" queryTableFieldId="4" dataDxfId="128"/>
    <tableColumn id="5" uniqueName="5" name="Выручка рынок" queryTableFieldId="5" dataDxfId="127"/>
    <tableColumn id="7" uniqueName="7" name="LTV конкурентов" queryTableFieldId="7" dataDxfId="126"/>
    <tableColumn id="8" uniqueName="8" name="LTV контрагента" queryTableFieldId="8" dataDxfId="1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1"/>
  <sheetViews>
    <sheetView topLeftCell="B625" workbookViewId="0">
      <selection activeCell="E2" sqref="E2:E651"/>
    </sheetView>
  </sheetViews>
  <sheetFormatPr defaultRowHeight="14.4" x14ac:dyDescent="0.3"/>
  <cols>
    <col min="1" max="2" width="31.44140625" bestFit="1" customWidth="1"/>
    <col min="3" max="3" width="20.109375" customWidth="1"/>
    <col min="4" max="4" width="81.109375" bestFit="1" customWidth="1"/>
    <col min="5" max="5" width="17.6640625" style="1" bestFit="1" customWidth="1"/>
    <col min="6" max="6" width="18.6640625" style="1" bestFit="1" customWidth="1"/>
    <col min="7" max="7" width="18.109375" style="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11</v>
      </c>
      <c r="B2" t="s">
        <v>11</v>
      </c>
      <c r="C2" t="s">
        <v>8</v>
      </c>
      <c r="D2" t="s">
        <v>12</v>
      </c>
      <c r="E2" s="1">
        <v>12166835</v>
      </c>
      <c r="F2" s="1">
        <v>12166835</v>
      </c>
      <c r="G2" s="1">
        <v>12166835</v>
      </c>
    </row>
    <row r="3" spans="1:7" x14ac:dyDescent="0.3">
      <c r="A3" t="s">
        <v>14</v>
      </c>
      <c r="B3" t="s">
        <v>15</v>
      </c>
      <c r="C3" t="s">
        <v>8</v>
      </c>
      <c r="D3" t="s">
        <v>16</v>
      </c>
      <c r="E3" s="1">
        <v>170700</v>
      </c>
      <c r="F3" s="1">
        <v>170700</v>
      </c>
      <c r="G3" s="1">
        <v>170700</v>
      </c>
    </row>
    <row r="4" spans="1:7" x14ac:dyDescent="0.3">
      <c r="A4" t="s">
        <v>37</v>
      </c>
      <c r="B4" t="s">
        <v>37</v>
      </c>
      <c r="C4" t="s">
        <v>20</v>
      </c>
      <c r="D4" t="s">
        <v>38</v>
      </c>
      <c r="E4" s="1">
        <v>115124858.8</v>
      </c>
      <c r="F4" s="1">
        <v>115124858.8</v>
      </c>
      <c r="G4" s="1">
        <v>115124858.8</v>
      </c>
    </row>
    <row r="5" spans="1:7" x14ac:dyDescent="0.3">
      <c r="A5" t="s">
        <v>37</v>
      </c>
      <c r="B5" t="s">
        <v>37</v>
      </c>
      <c r="C5" t="s">
        <v>23</v>
      </c>
      <c r="D5" t="s">
        <v>39</v>
      </c>
      <c r="E5" s="1">
        <v>37848356.479999997</v>
      </c>
      <c r="F5" s="1">
        <v>37848356.479999997</v>
      </c>
      <c r="G5" s="1">
        <v>37848356.479999997</v>
      </c>
    </row>
    <row r="6" spans="1:7" x14ac:dyDescent="0.3">
      <c r="A6" t="s">
        <v>37</v>
      </c>
      <c r="B6" t="s">
        <v>37</v>
      </c>
      <c r="C6" t="s">
        <v>7</v>
      </c>
      <c r="D6" t="s">
        <v>40</v>
      </c>
      <c r="E6" s="1">
        <v>21301546.940000001</v>
      </c>
      <c r="F6" s="1">
        <v>21301546.940000001</v>
      </c>
      <c r="G6" s="1">
        <v>21301546.940000001</v>
      </c>
    </row>
    <row r="7" spans="1:7" x14ac:dyDescent="0.3">
      <c r="A7" t="s">
        <v>37</v>
      </c>
      <c r="B7" t="s">
        <v>37</v>
      </c>
      <c r="C7" t="s">
        <v>7</v>
      </c>
      <c r="D7" t="s">
        <v>41</v>
      </c>
      <c r="E7" s="1">
        <v>5767157.5</v>
      </c>
      <c r="F7" s="1">
        <v>5767157.5</v>
      </c>
      <c r="G7" s="1">
        <v>5767157.5</v>
      </c>
    </row>
    <row r="8" spans="1:7" x14ac:dyDescent="0.3">
      <c r="A8" t="s">
        <v>37</v>
      </c>
      <c r="B8" t="s">
        <v>37</v>
      </c>
      <c r="C8" t="s">
        <v>7</v>
      </c>
      <c r="D8" t="s">
        <v>42</v>
      </c>
      <c r="E8" s="1">
        <v>2178384.92</v>
      </c>
      <c r="F8" s="1">
        <v>2178384.92</v>
      </c>
      <c r="G8" s="1">
        <v>2178384.92</v>
      </c>
    </row>
    <row r="9" spans="1:7" x14ac:dyDescent="0.3">
      <c r="A9" t="s">
        <v>37</v>
      </c>
      <c r="B9" t="s">
        <v>37</v>
      </c>
      <c r="C9" t="s">
        <v>22</v>
      </c>
      <c r="D9" t="s">
        <v>43</v>
      </c>
      <c r="E9" s="1">
        <v>18580824.989999998</v>
      </c>
      <c r="F9" s="1">
        <v>18580824.989999998</v>
      </c>
      <c r="G9" s="1">
        <v>18580824.989999998</v>
      </c>
    </row>
    <row r="10" spans="1:7" x14ac:dyDescent="0.3">
      <c r="A10" t="s">
        <v>37</v>
      </c>
      <c r="B10" t="s">
        <v>37</v>
      </c>
      <c r="C10" t="s">
        <v>22</v>
      </c>
      <c r="D10" t="s">
        <v>44</v>
      </c>
      <c r="E10" s="1">
        <v>7015728.7199999997</v>
      </c>
      <c r="F10" s="1">
        <v>7015728.7199999997</v>
      </c>
      <c r="G10" s="1">
        <v>7015728.7199999997</v>
      </c>
    </row>
    <row r="11" spans="1:7" x14ac:dyDescent="0.3">
      <c r="A11" t="s">
        <v>37</v>
      </c>
      <c r="B11" t="s">
        <v>37</v>
      </c>
      <c r="C11" t="s">
        <v>22</v>
      </c>
      <c r="D11" t="s">
        <v>45</v>
      </c>
      <c r="E11" s="1">
        <v>245304</v>
      </c>
      <c r="F11" s="1">
        <v>245304</v>
      </c>
      <c r="G11" s="1">
        <v>245304</v>
      </c>
    </row>
    <row r="12" spans="1:7" x14ac:dyDescent="0.3">
      <c r="A12" t="s">
        <v>37</v>
      </c>
      <c r="B12" t="s">
        <v>37</v>
      </c>
      <c r="C12" t="s">
        <v>22</v>
      </c>
      <c r="D12" t="s">
        <v>46</v>
      </c>
      <c r="E12" s="1">
        <v>2515723.2000000002</v>
      </c>
      <c r="F12" s="1">
        <v>2515723.2000000002</v>
      </c>
      <c r="G12" s="1">
        <v>2515723.2000000002</v>
      </c>
    </row>
    <row r="13" spans="1:7" x14ac:dyDescent="0.3">
      <c r="A13" t="s">
        <v>37</v>
      </c>
      <c r="B13" t="s">
        <v>37</v>
      </c>
      <c r="C13" t="s">
        <v>21</v>
      </c>
      <c r="D13" t="s">
        <v>44</v>
      </c>
      <c r="E13" s="1">
        <v>22982715.629999999</v>
      </c>
      <c r="F13" s="1">
        <v>22982715.629999999</v>
      </c>
      <c r="G13" s="1">
        <v>22982715.629999999</v>
      </c>
    </row>
    <row r="14" spans="1:7" x14ac:dyDescent="0.3">
      <c r="A14" t="s">
        <v>37</v>
      </c>
      <c r="B14" t="s">
        <v>37</v>
      </c>
      <c r="C14" t="s">
        <v>21</v>
      </c>
      <c r="D14" t="s">
        <v>47</v>
      </c>
      <c r="E14" s="1">
        <v>48281.86</v>
      </c>
      <c r="F14" s="1">
        <v>48281.86</v>
      </c>
      <c r="G14" s="1">
        <v>48281.86</v>
      </c>
    </row>
    <row r="15" spans="1:7" x14ac:dyDescent="0.3">
      <c r="A15" t="s">
        <v>37</v>
      </c>
      <c r="B15" t="s">
        <v>37</v>
      </c>
      <c r="C15" t="s">
        <v>26</v>
      </c>
      <c r="D15" t="s">
        <v>48</v>
      </c>
      <c r="E15" s="1">
        <v>12480000</v>
      </c>
      <c r="F15" s="1">
        <v>12480000</v>
      </c>
      <c r="G15" s="1">
        <v>12480000</v>
      </c>
    </row>
    <row r="16" spans="1:7" x14ac:dyDescent="0.3">
      <c r="A16" t="s">
        <v>37</v>
      </c>
      <c r="B16" t="s">
        <v>37</v>
      </c>
      <c r="C16" t="s">
        <v>26</v>
      </c>
      <c r="D16" t="s">
        <v>49</v>
      </c>
      <c r="E16" s="1">
        <v>257067.16</v>
      </c>
      <c r="F16" s="1">
        <v>257067.16</v>
      </c>
      <c r="G16" s="1">
        <v>257067.16</v>
      </c>
    </row>
    <row r="17" spans="1:7" x14ac:dyDescent="0.3">
      <c r="A17" t="s">
        <v>37</v>
      </c>
      <c r="B17" t="s">
        <v>37</v>
      </c>
      <c r="C17" t="s">
        <v>27</v>
      </c>
      <c r="D17" t="s">
        <v>43</v>
      </c>
      <c r="E17" s="1">
        <v>11023072.5</v>
      </c>
      <c r="F17" s="1">
        <v>11023072.5</v>
      </c>
      <c r="G17" s="1">
        <v>11023072.5</v>
      </c>
    </row>
    <row r="18" spans="1:7" x14ac:dyDescent="0.3">
      <c r="A18" t="s">
        <v>37</v>
      </c>
      <c r="B18" t="s">
        <v>37</v>
      </c>
      <c r="C18" t="s">
        <v>19</v>
      </c>
      <c r="D18" t="s">
        <v>38</v>
      </c>
      <c r="E18" s="1">
        <v>9648555.9399999995</v>
      </c>
      <c r="F18" s="1">
        <v>9648555.9399999995</v>
      </c>
      <c r="G18" s="1">
        <v>9648555.9399999995</v>
      </c>
    </row>
    <row r="19" spans="1:7" x14ac:dyDescent="0.3">
      <c r="A19" t="s">
        <v>37</v>
      </c>
      <c r="B19" t="s">
        <v>37</v>
      </c>
      <c r="C19" t="s">
        <v>28</v>
      </c>
      <c r="D19" t="s">
        <v>50</v>
      </c>
      <c r="E19" s="1">
        <v>8081968.7999999998</v>
      </c>
      <c r="F19" s="1">
        <v>8081968.7999999998</v>
      </c>
      <c r="G19" s="1">
        <v>8081968.7999999998</v>
      </c>
    </row>
    <row r="20" spans="1:7" x14ac:dyDescent="0.3">
      <c r="A20" t="s">
        <v>37</v>
      </c>
      <c r="B20" t="s">
        <v>37</v>
      </c>
      <c r="C20" t="s">
        <v>28</v>
      </c>
      <c r="D20" t="s">
        <v>51</v>
      </c>
      <c r="E20" s="1">
        <v>1013677.9</v>
      </c>
      <c r="F20" s="1">
        <v>1013677.9</v>
      </c>
      <c r="G20" s="1">
        <v>1013677.9</v>
      </c>
    </row>
    <row r="21" spans="1:7" x14ac:dyDescent="0.3">
      <c r="A21" t="s">
        <v>37</v>
      </c>
      <c r="B21" t="s">
        <v>37</v>
      </c>
      <c r="C21" t="s">
        <v>24</v>
      </c>
      <c r="D21" t="s">
        <v>43</v>
      </c>
      <c r="E21" s="1">
        <v>7592919.6799999997</v>
      </c>
      <c r="F21" s="1">
        <v>7592919.6799999997</v>
      </c>
      <c r="G21" s="1">
        <v>7592919.6799999997</v>
      </c>
    </row>
    <row r="22" spans="1:7" x14ac:dyDescent="0.3">
      <c r="A22" t="s">
        <v>37</v>
      </c>
      <c r="B22" t="s">
        <v>37</v>
      </c>
      <c r="C22" t="s">
        <v>29</v>
      </c>
      <c r="D22" t="s">
        <v>52</v>
      </c>
      <c r="E22" s="1">
        <v>2458344.0299999998</v>
      </c>
      <c r="F22" s="1">
        <v>2458344.0299999998</v>
      </c>
      <c r="G22" s="1">
        <v>2458344.0299999998</v>
      </c>
    </row>
    <row r="23" spans="1:7" x14ac:dyDescent="0.3">
      <c r="A23" t="s">
        <v>37</v>
      </c>
      <c r="B23" t="s">
        <v>37</v>
      </c>
      <c r="C23" t="s">
        <v>34</v>
      </c>
      <c r="D23" t="s">
        <v>53</v>
      </c>
      <c r="E23" s="1">
        <v>1791405.52</v>
      </c>
      <c r="F23" s="1">
        <v>1791405.52</v>
      </c>
      <c r="G23" s="1">
        <v>1791405.52</v>
      </c>
    </row>
    <row r="24" spans="1:7" x14ac:dyDescent="0.3">
      <c r="A24" t="s">
        <v>37</v>
      </c>
      <c r="B24" t="s">
        <v>37</v>
      </c>
      <c r="C24" t="s">
        <v>36</v>
      </c>
      <c r="D24" t="s">
        <v>46</v>
      </c>
      <c r="E24" s="1">
        <v>574781.64</v>
      </c>
      <c r="F24" s="1">
        <v>574781.64</v>
      </c>
      <c r="G24" s="1">
        <v>574781.64</v>
      </c>
    </row>
    <row r="25" spans="1:7" x14ac:dyDescent="0.3">
      <c r="A25" t="s">
        <v>37</v>
      </c>
      <c r="B25" t="s">
        <v>37</v>
      </c>
      <c r="C25" t="s">
        <v>25</v>
      </c>
      <c r="D25" t="s">
        <v>43</v>
      </c>
      <c r="E25" s="1">
        <v>394122.66</v>
      </c>
      <c r="F25" s="1">
        <v>394122.66</v>
      </c>
      <c r="G25" s="1">
        <v>394122.66</v>
      </c>
    </row>
    <row r="26" spans="1:7" x14ac:dyDescent="0.3">
      <c r="A26" t="s">
        <v>37</v>
      </c>
      <c r="B26" t="s">
        <v>37</v>
      </c>
      <c r="C26" t="s">
        <v>18</v>
      </c>
      <c r="D26" t="s">
        <v>40</v>
      </c>
      <c r="E26" s="1">
        <v>276561.63</v>
      </c>
      <c r="F26" s="1">
        <v>276561.63</v>
      </c>
      <c r="G26" s="1">
        <v>276561.63</v>
      </c>
    </row>
    <row r="27" spans="1:7" x14ac:dyDescent="0.3">
      <c r="A27" t="s">
        <v>80</v>
      </c>
      <c r="B27" t="s">
        <v>80</v>
      </c>
      <c r="C27" t="s">
        <v>33</v>
      </c>
      <c r="D27" t="s">
        <v>81</v>
      </c>
      <c r="E27" s="1">
        <v>1678652</v>
      </c>
      <c r="F27" s="1">
        <v>1678652</v>
      </c>
      <c r="G27" s="1">
        <v>1678652</v>
      </c>
    </row>
    <row r="28" spans="1:7" x14ac:dyDescent="0.3">
      <c r="A28" t="s">
        <v>80</v>
      </c>
      <c r="B28" t="s">
        <v>80</v>
      </c>
      <c r="C28" t="s">
        <v>26</v>
      </c>
      <c r="D28" t="s">
        <v>82</v>
      </c>
      <c r="E28" s="1">
        <v>957642.83</v>
      </c>
      <c r="F28" s="1">
        <v>957642.83</v>
      </c>
      <c r="G28" s="1">
        <v>957642.83</v>
      </c>
    </row>
    <row r="29" spans="1:7" x14ac:dyDescent="0.3">
      <c r="A29" t="s">
        <v>80</v>
      </c>
      <c r="B29" t="s">
        <v>80</v>
      </c>
      <c r="C29" t="s">
        <v>13</v>
      </c>
      <c r="D29" t="s">
        <v>83</v>
      </c>
      <c r="E29" s="1">
        <v>122068.12</v>
      </c>
      <c r="F29" s="1">
        <v>122068.12</v>
      </c>
      <c r="G29" s="1">
        <v>122068.12</v>
      </c>
    </row>
    <row r="30" spans="1:7" x14ac:dyDescent="0.3">
      <c r="A30" t="s">
        <v>84</v>
      </c>
      <c r="B30" t="s">
        <v>84</v>
      </c>
      <c r="C30" t="s">
        <v>54</v>
      </c>
      <c r="D30" t="s">
        <v>85</v>
      </c>
      <c r="E30" s="1">
        <v>20416904.829999998</v>
      </c>
      <c r="F30" s="1">
        <v>20416904.829999998</v>
      </c>
      <c r="G30" s="1">
        <v>20416904.829999998</v>
      </c>
    </row>
    <row r="31" spans="1:7" x14ac:dyDescent="0.3">
      <c r="A31" t="s">
        <v>84</v>
      </c>
      <c r="B31" t="s">
        <v>84</v>
      </c>
      <c r="C31" t="s">
        <v>54</v>
      </c>
      <c r="D31" t="s">
        <v>86</v>
      </c>
      <c r="E31" s="1">
        <v>9627273.1300000008</v>
      </c>
      <c r="F31" s="1">
        <v>9627273.1300000008</v>
      </c>
      <c r="G31" s="1">
        <v>9627273.1300000008</v>
      </c>
    </row>
    <row r="32" spans="1:7" x14ac:dyDescent="0.3">
      <c r="A32" t="s">
        <v>84</v>
      </c>
      <c r="B32" t="s">
        <v>84</v>
      </c>
      <c r="C32" t="s">
        <v>22</v>
      </c>
      <c r="D32" t="s">
        <v>87</v>
      </c>
      <c r="E32" s="1">
        <v>9127270.0199999996</v>
      </c>
      <c r="F32" s="1">
        <v>9127270.0199999996</v>
      </c>
      <c r="G32" s="1">
        <v>9127270.0199999996</v>
      </c>
    </row>
    <row r="33" spans="1:7" x14ac:dyDescent="0.3">
      <c r="A33" t="s">
        <v>84</v>
      </c>
      <c r="B33" t="s">
        <v>84</v>
      </c>
      <c r="C33" t="s">
        <v>22</v>
      </c>
      <c r="D33" t="s">
        <v>88</v>
      </c>
      <c r="E33" s="1">
        <v>8305429.5199999996</v>
      </c>
      <c r="F33" s="1">
        <v>8305429.5199999996</v>
      </c>
      <c r="G33" s="1">
        <v>8305429.5199999996</v>
      </c>
    </row>
    <row r="34" spans="1:7" x14ac:dyDescent="0.3">
      <c r="A34" t="s">
        <v>84</v>
      </c>
      <c r="B34" t="s">
        <v>84</v>
      </c>
      <c r="C34" t="s">
        <v>22</v>
      </c>
      <c r="D34" t="s">
        <v>89</v>
      </c>
      <c r="E34" s="1">
        <v>962009.24</v>
      </c>
      <c r="F34" s="1">
        <v>962009.24</v>
      </c>
      <c r="G34" s="1">
        <v>962009.24</v>
      </c>
    </row>
    <row r="35" spans="1:7" x14ac:dyDescent="0.3">
      <c r="A35" t="s">
        <v>84</v>
      </c>
      <c r="B35" t="s">
        <v>84</v>
      </c>
      <c r="C35" t="s">
        <v>22</v>
      </c>
      <c r="D35" t="s">
        <v>90</v>
      </c>
      <c r="E35" s="1">
        <v>48468.56</v>
      </c>
      <c r="F35" s="1">
        <v>48468.56</v>
      </c>
      <c r="G35" s="1">
        <v>48468.56</v>
      </c>
    </row>
    <row r="36" spans="1:7" x14ac:dyDescent="0.3">
      <c r="A36" t="s">
        <v>84</v>
      </c>
      <c r="B36" t="s">
        <v>84</v>
      </c>
      <c r="C36" t="s">
        <v>34</v>
      </c>
      <c r="D36" t="s">
        <v>91</v>
      </c>
      <c r="E36" s="1">
        <v>17403973.420000002</v>
      </c>
      <c r="F36" s="1">
        <v>17403973.420000002</v>
      </c>
      <c r="G36" s="1">
        <v>17403973.420000002</v>
      </c>
    </row>
    <row r="37" spans="1:7" x14ac:dyDescent="0.3">
      <c r="A37" t="s">
        <v>84</v>
      </c>
      <c r="B37" t="s">
        <v>84</v>
      </c>
      <c r="C37" t="s">
        <v>28</v>
      </c>
      <c r="D37" t="s">
        <v>92</v>
      </c>
      <c r="E37" s="1">
        <v>8732333.5</v>
      </c>
      <c r="F37" s="1">
        <v>8732333.5</v>
      </c>
      <c r="G37" s="1">
        <v>8732333.5</v>
      </c>
    </row>
    <row r="38" spans="1:7" x14ac:dyDescent="0.3">
      <c r="A38" t="s">
        <v>84</v>
      </c>
      <c r="B38" t="s">
        <v>84</v>
      </c>
      <c r="C38" t="s">
        <v>28</v>
      </c>
      <c r="D38" t="s">
        <v>93</v>
      </c>
      <c r="E38" s="1">
        <v>2383373</v>
      </c>
      <c r="F38" s="1">
        <v>2383373</v>
      </c>
      <c r="G38" s="1">
        <v>2383373</v>
      </c>
    </row>
    <row r="39" spans="1:7" x14ac:dyDescent="0.3">
      <c r="A39" t="s">
        <v>84</v>
      </c>
      <c r="B39" t="s">
        <v>84</v>
      </c>
      <c r="C39" t="s">
        <v>28</v>
      </c>
      <c r="D39" t="s">
        <v>94</v>
      </c>
      <c r="E39" s="1">
        <v>1958541.5</v>
      </c>
      <c r="F39" s="1">
        <v>1958541.5</v>
      </c>
      <c r="G39" s="1">
        <v>1958541.5</v>
      </c>
    </row>
    <row r="40" spans="1:7" x14ac:dyDescent="0.3">
      <c r="A40" t="s">
        <v>84</v>
      </c>
      <c r="B40" t="s">
        <v>84</v>
      </c>
      <c r="C40" t="s">
        <v>28</v>
      </c>
      <c r="D40" t="s">
        <v>95</v>
      </c>
      <c r="E40" s="1">
        <v>1685992</v>
      </c>
      <c r="F40" s="1">
        <v>1685992</v>
      </c>
      <c r="G40" s="1">
        <v>1685992</v>
      </c>
    </row>
    <row r="41" spans="1:7" x14ac:dyDescent="0.3">
      <c r="A41" t="s">
        <v>84</v>
      </c>
      <c r="B41" t="s">
        <v>84</v>
      </c>
      <c r="C41" t="s">
        <v>28</v>
      </c>
      <c r="D41" t="s">
        <v>96</v>
      </c>
      <c r="E41" s="1">
        <v>1080299.8</v>
      </c>
      <c r="F41" s="1">
        <v>1080299.8</v>
      </c>
      <c r="G41" s="1">
        <v>1080299.8</v>
      </c>
    </row>
    <row r="42" spans="1:7" x14ac:dyDescent="0.3">
      <c r="A42" t="s">
        <v>84</v>
      </c>
      <c r="B42" t="s">
        <v>84</v>
      </c>
      <c r="C42" t="s">
        <v>21</v>
      </c>
      <c r="D42" t="s">
        <v>93</v>
      </c>
      <c r="E42" s="1">
        <v>9011220.0899999999</v>
      </c>
      <c r="F42" s="1">
        <v>9011220.0899999999</v>
      </c>
      <c r="G42" s="1">
        <v>9011220.0899999999</v>
      </c>
    </row>
    <row r="43" spans="1:7" x14ac:dyDescent="0.3">
      <c r="A43" t="s">
        <v>84</v>
      </c>
      <c r="B43" t="s">
        <v>84</v>
      </c>
      <c r="C43" t="s">
        <v>21</v>
      </c>
      <c r="D43" t="s">
        <v>97</v>
      </c>
      <c r="E43" s="1">
        <v>848660.03</v>
      </c>
      <c r="F43" s="1">
        <v>848660.03</v>
      </c>
      <c r="G43" s="1">
        <v>848660.03</v>
      </c>
    </row>
    <row r="44" spans="1:7" x14ac:dyDescent="0.3">
      <c r="A44" t="s">
        <v>84</v>
      </c>
      <c r="B44" t="s">
        <v>84</v>
      </c>
      <c r="C44" t="s">
        <v>21</v>
      </c>
      <c r="D44" t="s">
        <v>98</v>
      </c>
      <c r="E44" s="1">
        <v>749000.48</v>
      </c>
      <c r="F44" s="1">
        <v>749000.48</v>
      </c>
      <c r="G44" s="1">
        <v>749000.48</v>
      </c>
    </row>
    <row r="45" spans="1:7" x14ac:dyDescent="0.3">
      <c r="A45" t="s">
        <v>84</v>
      </c>
      <c r="B45" t="s">
        <v>84</v>
      </c>
      <c r="C45" t="s">
        <v>21</v>
      </c>
      <c r="D45" t="s">
        <v>99</v>
      </c>
      <c r="E45" s="1">
        <v>389692.98</v>
      </c>
      <c r="F45" s="1">
        <v>389692.98</v>
      </c>
      <c r="G45" s="1">
        <v>389692.98</v>
      </c>
    </row>
    <row r="46" spans="1:7" x14ac:dyDescent="0.3">
      <c r="A46" t="s">
        <v>84</v>
      </c>
      <c r="B46" t="s">
        <v>84</v>
      </c>
      <c r="C46" t="s">
        <v>21</v>
      </c>
      <c r="D46" t="s">
        <v>100</v>
      </c>
      <c r="E46" s="1">
        <v>343203.57</v>
      </c>
      <c r="F46" s="1">
        <v>343203.57</v>
      </c>
      <c r="G46" s="1">
        <v>343203.57</v>
      </c>
    </row>
    <row r="47" spans="1:7" x14ac:dyDescent="0.3">
      <c r="A47" t="s">
        <v>84</v>
      </c>
      <c r="B47" t="s">
        <v>84</v>
      </c>
      <c r="C47" t="s">
        <v>21</v>
      </c>
      <c r="D47" t="s">
        <v>101</v>
      </c>
      <c r="E47" s="1">
        <v>321474.34999999998</v>
      </c>
      <c r="F47" s="1">
        <v>321474.34999999998</v>
      </c>
      <c r="G47" s="1">
        <v>321474.34999999998</v>
      </c>
    </row>
    <row r="48" spans="1:7" x14ac:dyDescent="0.3">
      <c r="A48" t="s">
        <v>84</v>
      </c>
      <c r="B48" t="s">
        <v>84</v>
      </c>
      <c r="C48" t="s">
        <v>21</v>
      </c>
      <c r="D48" t="s">
        <v>86</v>
      </c>
      <c r="E48" s="1">
        <v>287558.32</v>
      </c>
      <c r="F48" s="1">
        <v>287558.32</v>
      </c>
      <c r="G48" s="1">
        <v>287558.32</v>
      </c>
    </row>
    <row r="49" spans="1:7" x14ac:dyDescent="0.3">
      <c r="A49" t="s">
        <v>84</v>
      </c>
      <c r="B49" t="s">
        <v>84</v>
      </c>
      <c r="C49" t="s">
        <v>21</v>
      </c>
      <c r="D49" t="s">
        <v>102</v>
      </c>
      <c r="E49" s="1">
        <v>59507.5</v>
      </c>
      <c r="F49" s="1">
        <v>59507.5</v>
      </c>
      <c r="G49" s="1">
        <v>59507.5</v>
      </c>
    </row>
    <row r="50" spans="1:7" x14ac:dyDescent="0.3">
      <c r="A50" t="s">
        <v>84</v>
      </c>
      <c r="B50" t="s">
        <v>84</v>
      </c>
      <c r="C50" t="s">
        <v>21</v>
      </c>
      <c r="D50" t="s">
        <v>103</v>
      </c>
      <c r="E50" s="1">
        <v>49711.29</v>
      </c>
      <c r="F50" s="1">
        <v>49711.29</v>
      </c>
      <c r="G50" s="1">
        <v>49711.29</v>
      </c>
    </row>
    <row r="51" spans="1:7" x14ac:dyDescent="0.3">
      <c r="A51" t="s">
        <v>84</v>
      </c>
      <c r="B51" t="s">
        <v>84</v>
      </c>
      <c r="C51" t="s">
        <v>21</v>
      </c>
      <c r="D51" t="s">
        <v>104</v>
      </c>
      <c r="E51" s="1">
        <v>25964.25</v>
      </c>
      <c r="F51" s="1">
        <v>25964.25</v>
      </c>
      <c r="G51" s="1">
        <v>25964.25</v>
      </c>
    </row>
    <row r="52" spans="1:7" x14ac:dyDescent="0.3">
      <c r="A52" t="s">
        <v>84</v>
      </c>
      <c r="B52" t="s">
        <v>84</v>
      </c>
      <c r="C52" t="s">
        <v>21</v>
      </c>
      <c r="D52" t="s">
        <v>105</v>
      </c>
      <c r="E52" s="1">
        <v>18381.099999999999</v>
      </c>
      <c r="F52" s="1">
        <v>18381.099999999999</v>
      </c>
      <c r="G52" s="1">
        <v>18381.099999999999</v>
      </c>
    </row>
    <row r="53" spans="1:7" x14ac:dyDescent="0.3">
      <c r="A53" t="s">
        <v>84</v>
      </c>
      <c r="B53" t="s">
        <v>84</v>
      </c>
      <c r="C53" t="s">
        <v>33</v>
      </c>
      <c r="D53" t="s">
        <v>106</v>
      </c>
      <c r="E53" s="1">
        <v>11239187</v>
      </c>
      <c r="F53" s="1">
        <v>11239187</v>
      </c>
      <c r="G53" s="1">
        <v>11239187</v>
      </c>
    </row>
    <row r="54" spans="1:7" x14ac:dyDescent="0.3">
      <c r="A54" t="s">
        <v>84</v>
      </c>
      <c r="B54" t="s">
        <v>84</v>
      </c>
      <c r="C54" t="s">
        <v>19</v>
      </c>
      <c r="D54" t="s">
        <v>107</v>
      </c>
      <c r="E54" s="1">
        <v>8710378.7400000002</v>
      </c>
      <c r="F54" s="1">
        <v>8710378.7400000002</v>
      </c>
      <c r="G54" s="1">
        <v>8710378.7400000002</v>
      </c>
    </row>
    <row r="55" spans="1:7" x14ac:dyDescent="0.3">
      <c r="A55" t="s">
        <v>84</v>
      </c>
      <c r="B55" t="s">
        <v>84</v>
      </c>
      <c r="C55" t="s">
        <v>19</v>
      </c>
      <c r="D55" t="s">
        <v>108</v>
      </c>
      <c r="E55" s="1">
        <v>2456875.39</v>
      </c>
      <c r="F55" s="1">
        <v>2456875.39</v>
      </c>
      <c r="G55" s="1">
        <v>2456875.39</v>
      </c>
    </row>
    <row r="56" spans="1:7" x14ac:dyDescent="0.3">
      <c r="A56" t="s">
        <v>84</v>
      </c>
      <c r="B56" t="s">
        <v>84</v>
      </c>
      <c r="C56" t="s">
        <v>7</v>
      </c>
      <c r="D56" t="s">
        <v>109</v>
      </c>
      <c r="E56" s="1">
        <v>3767971.45</v>
      </c>
      <c r="F56" s="1">
        <v>3767971.45</v>
      </c>
      <c r="G56" s="1">
        <v>3767971.45</v>
      </c>
    </row>
    <row r="57" spans="1:7" x14ac:dyDescent="0.3">
      <c r="A57" t="s">
        <v>84</v>
      </c>
      <c r="B57" t="s">
        <v>84</v>
      </c>
      <c r="C57" t="s">
        <v>7</v>
      </c>
      <c r="D57" t="s">
        <v>110</v>
      </c>
      <c r="E57" s="1">
        <v>3012994.15</v>
      </c>
      <c r="F57" s="1">
        <v>3012994.15</v>
      </c>
      <c r="G57" s="1">
        <v>3012994.15</v>
      </c>
    </row>
    <row r="58" spans="1:7" x14ac:dyDescent="0.3">
      <c r="A58" t="s">
        <v>84</v>
      </c>
      <c r="B58" t="s">
        <v>84</v>
      </c>
      <c r="C58" t="s">
        <v>7</v>
      </c>
      <c r="D58" t="s">
        <v>95</v>
      </c>
      <c r="E58" s="1">
        <v>629661.53</v>
      </c>
      <c r="F58" s="1">
        <v>629661.53</v>
      </c>
      <c r="G58" s="1">
        <v>629661.53</v>
      </c>
    </row>
    <row r="59" spans="1:7" x14ac:dyDescent="0.3">
      <c r="A59" t="s">
        <v>84</v>
      </c>
      <c r="B59" t="s">
        <v>84</v>
      </c>
      <c r="C59" t="s">
        <v>36</v>
      </c>
      <c r="D59" t="s">
        <v>110</v>
      </c>
      <c r="E59" s="1">
        <v>1333845.22</v>
      </c>
      <c r="F59" s="1">
        <v>1333845.22</v>
      </c>
      <c r="G59" s="1">
        <v>1333845.22</v>
      </c>
    </row>
    <row r="60" spans="1:7" x14ac:dyDescent="0.3">
      <c r="A60" t="s">
        <v>84</v>
      </c>
      <c r="B60" t="s">
        <v>84</v>
      </c>
      <c r="C60" t="s">
        <v>18</v>
      </c>
      <c r="D60" t="s">
        <v>108</v>
      </c>
      <c r="E60" s="1">
        <v>387473.91</v>
      </c>
      <c r="F60" s="1">
        <v>387473.91</v>
      </c>
      <c r="G60" s="1">
        <v>387473.91</v>
      </c>
    </row>
    <row r="61" spans="1:7" x14ac:dyDescent="0.3">
      <c r="A61" t="s">
        <v>84</v>
      </c>
      <c r="B61" t="s">
        <v>84</v>
      </c>
      <c r="C61" t="s">
        <v>18</v>
      </c>
      <c r="D61" t="s">
        <v>86</v>
      </c>
      <c r="E61" s="1">
        <v>310583.89</v>
      </c>
      <c r="F61" s="1">
        <v>310583.89</v>
      </c>
      <c r="G61" s="1">
        <v>310583.89</v>
      </c>
    </row>
    <row r="62" spans="1:7" x14ac:dyDescent="0.3">
      <c r="A62" t="s">
        <v>84</v>
      </c>
      <c r="B62" t="s">
        <v>84</v>
      </c>
      <c r="C62" t="s">
        <v>18</v>
      </c>
      <c r="D62" t="s">
        <v>111</v>
      </c>
      <c r="E62" s="1">
        <v>281078.15999999997</v>
      </c>
      <c r="F62" s="1">
        <v>281078.15999999997</v>
      </c>
      <c r="G62" s="1">
        <v>281078.15999999997</v>
      </c>
    </row>
    <row r="63" spans="1:7" x14ac:dyDescent="0.3">
      <c r="A63" t="s">
        <v>84</v>
      </c>
      <c r="B63" t="s">
        <v>84</v>
      </c>
      <c r="C63" t="s">
        <v>18</v>
      </c>
      <c r="D63" t="s">
        <v>112</v>
      </c>
      <c r="E63" s="1">
        <v>167185.56</v>
      </c>
      <c r="F63" s="1">
        <v>167185.56</v>
      </c>
      <c r="G63" s="1">
        <v>167185.56</v>
      </c>
    </row>
    <row r="64" spans="1:7" x14ac:dyDescent="0.3">
      <c r="A64" t="s">
        <v>84</v>
      </c>
      <c r="B64" t="s">
        <v>84</v>
      </c>
      <c r="C64" t="s">
        <v>18</v>
      </c>
      <c r="D64" t="s">
        <v>109</v>
      </c>
      <c r="E64" s="1">
        <v>114315.24</v>
      </c>
      <c r="F64" s="1">
        <v>114315.24</v>
      </c>
      <c r="G64" s="1">
        <v>114315.24</v>
      </c>
    </row>
    <row r="65" spans="1:7" x14ac:dyDescent="0.3">
      <c r="A65" t="s">
        <v>84</v>
      </c>
      <c r="B65" t="s">
        <v>84</v>
      </c>
      <c r="C65" t="s">
        <v>18</v>
      </c>
      <c r="D65" t="s">
        <v>113</v>
      </c>
      <c r="E65" s="1">
        <v>29844</v>
      </c>
      <c r="F65" s="1">
        <v>29844</v>
      </c>
      <c r="G65" s="1">
        <v>29844</v>
      </c>
    </row>
    <row r="66" spans="1:7" x14ac:dyDescent="0.3">
      <c r="A66" t="s">
        <v>84</v>
      </c>
      <c r="B66" t="s">
        <v>84</v>
      </c>
      <c r="C66" t="s">
        <v>13</v>
      </c>
      <c r="D66" t="s">
        <v>114</v>
      </c>
      <c r="E66" s="1">
        <v>772662.17</v>
      </c>
      <c r="F66" s="1">
        <v>772662.17</v>
      </c>
      <c r="G66" s="1">
        <v>772662.17</v>
      </c>
    </row>
    <row r="67" spans="1:7" x14ac:dyDescent="0.3">
      <c r="A67" t="s">
        <v>84</v>
      </c>
      <c r="B67" t="s">
        <v>84</v>
      </c>
      <c r="C67" t="s">
        <v>24</v>
      </c>
      <c r="D67" t="s">
        <v>88</v>
      </c>
      <c r="E67" s="1">
        <v>30000</v>
      </c>
      <c r="F67" s="1">
        <v>30000</v>
      </c>
      <c r="G67" s="1">
        <v>30000</v>
      </c>
    </row>
    <row r="68" spans="1:7" x14ac:dyDescent="0.3">
      <c r="A68" t="s">
        <v>84</v>
      </c>
      <c r="B68" t="s">
        <v>84</v>
      </c>
      <c r="C68" t="s">
        <v>26</v>
      </c>
      <c r="D68" t="s">
        <v>115</v>
      </c>
      <c r="E68" s="1">
        <v>3000</v>
      </c>
      <c r="F68" s="1">
        <v>3000</v>
      </c>
      <c r="G68" s="1">
        <v>3000</v>
      </c>
    </row>
    <row r="69" spans="1:7" x14ac:dyDescent="0.3">
      <c r="A69" t="s">
        <v>84</v>
      </c>
      <c r="B69" t="s">
        <v>84</v>
      </c>
      <c r="C69" t="s">
        <v>26</v>
      </c>
      <c r="D69" t="s">
        <v>116</v>
      </c>
      <c r="E69" s="1">
        <v>2502.48</v>
      </c>
      <c r="F69" s="1">
        <v>2502.48</v>
      </c>
      <c r="G69" s="1">
        <v>2502.48</v>
      </c>
    </row>
    <row r="70" spans="1:7" x14ac:dyDescent="0.3">
      <c r="A70" t="s">
        <v>117</v>
      </c>
      <c r="B70" t="s">
        <v>117</v>
      </c>
      <c r="C70" t="s">
        <v>54</v>
      </c>
      <c r="D70" t="s">
        <v>118</v>
      </c>
      <c r="E70" s="1">
        <v>52283133.310000002</v>
      </c>
      <c r="F70" s="1">
        <v>52283133.310000002</v>
      </c>
      <c r="G70" s="1">
        <v>52283133.310000002</v>
      </c>
    </row>
    <row r="71" spans="1:7" x14ac:dyDescent="0.3">
      <c r="A71" t="s">
        <v>117</v>
      </c>
      <c r="B71" t="s">
        <v>117</v>
      </c>
      <c r="C71" t="s">
        <v>54</v>
      </c>
      <c r="D71" t="s">
        <v>119</v>
      </c>
      <c r="E71" s="1">
        <v>32392323.440000001</v>
      </c>
      <c r="F71" s="1">
        <v>32392323.440000001</v>
      </c>
      <c r="G71" s="1">
        <v>32392323.440000001</v>
      </c>
    </row>
    <row r="72" spans="1:7" x14ac:dyDescent="0.3">
      <c r="A72" t="s">
        <v>117</v>
      </c>
      <c r="B72" t="s">
        <v>117</v>
      </c>
      <c r="C72" t="s">
        <v>54</v>
      </c>
      <c r="D72" t="s">
        <v>120</v>
      </c>
      <c r="E72" s="1">
        <v>20639172.210000001</v>
      </c>
      <c r="F72" s="1">
        <v>20639172.210000001</v>
      </c>
      <c r="G72" s="1">
        <v>20639172.210000001</v>
      </c>
    </row>
    <row r="73" spans="1:7" x14ac:dyDescent="0.3">
      <c r="A73" t="s">
        <v>117</v>
      </c>
      <c r="B73" t="s">
        <v>117</v>
      </c>
      <c r="C73" t="s">
        <v>54</v>
      </c>
      <c r="D73" t="s">
        <v>121</v>
      </c>
      <c r="E73" s="1">
        <v>17444626.68</v>
      </c>
      <c r="F73" s="1">
        <v>17444626.68</v>
      </c>
      <c r="G73" s="1">
        <v>17444626.68</v>
      </c>
    </row>
    <row r="74" spans="1:7" x14ac:dyDescent="0.3">
      <c r="A74" t="s">
        <v>117</v>
      </c>
      <c r="B74" t="s">
        <v>117</v>
      </c>
      <c r="C74" t="s">
        <v>54</v>
      </c>
      <c r="D74" t="s">
        <v>122</v>
      </c>
      <c r="E74" s="1">
        <v>7461215.71</v>
      </c>
      <c r="F74" s="1">
        <v>7461215.71</v>
      </c>
      <c r="G74" s="1">
        <v>7461215.71</v>
      </c>
    </row>
    <row r="75" spans="1:7" x14ac:dyDescent="0.3">
      <c r="A75" t="s">
        <v>117</v>
      </c>
      <c r="B75" t="s">
        <v>117</v>
      </c>
      <c r="C75" t="s">
        <v>54</v>
      </c>
      <c r="D75" t="s">
        <v>123</v>
      </c>
      <c r="E75" s="1">
        <v>6355405.8200000003</v>
      </c>
      <c r="F75" s="1">
        <v>6355405.8200000003</v>
      </c>
      <c r="G75" s="1">
        <v>6355405.8200000003</v>
      </c>
    </row>
    <row r="76" spans="1:7" x14ac:dyDescent="0.3">
      <c r="A76" t="s">
        <v>117</v>
      </c>
      <c r="B76" t="s">
        <v>117</v>
      </c>
      <c r="C76" t="s">
        <v>54</v>
      </c>
      <c r="D76" t="s">
        <v>124</v>
      </c>
      <c r="E76" s="1">
        <v>4617274.8899999997</v>
      </c>
      <c r="F76" s="1">
        <v>4617274.8899999997</v>
      </c>
      <c r="G76" s="1">
        <v>4617274.8899999997</v>
      </c>
    </row>
    <row r="77" spans="1:7" x14ac:dyDescent="0.3">
      <c r="A77" t="s">
        <v>117</v>
      </c>
      <c r="B77" t="s">
        <v>117</v>
      </c>
      <c r="C77" t="s">
        <v>54</v>
      </c>
      <c r="D77" t="s">
        <v>125</v>
      </c>
      <c r="E77" s="1">
        <v>4358805.66</v>
      </c>
      <c r="F77" s="1">
        <v>4358805.66</v>
      </c>
      <c r="G77" s="1">
        <v>4358805.66</v>
      </c>
    </row>
    <row r="78" spans="1:7" x14ac:dyDescent="0.3">
      <c r="A78" t="s">
        <v>117</v>
      </c>
      <c r="B78" t="s">
        <v>117</v>
      </c>
      <c r="C78" t="s">
        <v>23</v>
      </c>
      <c r="D78" t="s">
        <v>126</v>
      </c>
      <c r="E78" s="1">
        <v>52159027.82</v>
      </c>
      <c r="F78" s="1">
        <v>52159027.82</v>
      </c>
      <c r="G78" s="1">
        <v>52159027.82</v>
      </c>
    </row>
    <row r="79" spans="1:7" x14ac:dyDescent="0.3">
      <c r="A79" t="s">
        <v>117</v>
      </c>
      <c r="B79" t="s">
        <v>117</v>
      </c>
      <c r="C79" t="s">
        <v>23</v>
      </c>
      <c r="D79" t="s">
        <v>127</v>
      </c>
      <c r="E79" s="1">
        <v>15747670.59</v>
      </c>
      <c r="F79" s="1">
        <v>15747670.59</v>
      </c>
      <c r="G79" s="1">
        <v>15747670.59</v>
      </c>
    </row>
    <row r="80" spans="1:7" x14ac:dyDescent="0.3">
      <c r="A80" t="s">
        <v>117</v>
      </c>
      <c r="B80" t="s">
        <v>117</v>
      </c>
      <c r="C80" t="s">
        <v>23</v>
      </c>
      <c r="D80" t="s">
        <v>128</v>
      </c>
      <c r="E80" s="1">
        <v>8193964.1799999997</v>
      </c>
      <c r="F80" s="1">
        <v>8193964.1799999997</v>
      </c>
      <c r="G80" s="1">
        <v>8193964.1799999997</v>
      </c>
    </row>
    <row r="81" spans="1:7" x14ac:dyDescent="0.3">
      <c r="A81" t="s">
        <v>117</v>
      </c>
      <c r="B81" t="s">
        <v>117</v>
      </c>
      <c r="C81" t="s">
        <v>21</v>
      </c>
      <c r="D81" t="s">
        <v>63</v>
      </c>
      <c r="E81" s="1">
        <v>13586832.33</v>
      </c>
      <c r="F81" s="1">
        <v>13586832.33</v>
      </c>
      <c r="G81" s="1">
        <v>13586832.33</v>
      </c>
    </row>
    <row r="82" spans="1:7" x14ac:dyDescent="0.3">
      <c r="A82" t="s">
        <v>117</v>
      </c>
      <c r="B82" t="s">
        <v>117</v>
      </c>
      <c r="C82" t="s">
        <v>21</v>
      </c>
      <c r="D82" t="s">
        <v>125</v>
      </c>
      <c r="E82" s="1">
        <v>5730085.3499999996</v>
      </c>
      <c r="F82" s="1">
        <v>5730085.3499999996</v>
      </c>
      <c r="G82" s="1">
        <v>5730085.3499999996</v>
      </c>
    </row>
    <row r="83" spans="1:7" x14ac:dyDescent="0.3">
      <c r="A83" t="s">
        <v>117</v>
      </c>
      <c r="B83" t="s">
        <v>117</v>
      </c>
      <c r="C83" t="s">
        <v>21</v>
      </c>
      <c r="D83" t="s">
        <v>129</v>
      </c>
      <c r="E83" s="1">
        <v>5206122.04</v>
      </c>
      <c r="F83" s="1">
        <v>5206122.04</v>
      </c>
      <c r="G83" s="1">
        <v>5206122.04</v>
      </c>
    </row>
    <row r="84" spans="1:7" x14ac:dyDescent="0.3">
      <c r="A84" t="s">
        <v>117</v>
      </c>
      <c r="B84" t="s">
        <v>117</v>
      </c>
      <c r="C84" t="s">
        <v>21</v>
      </c>
      <c r="D84" t="s">
        <v>130</v>
      </c>
      <c r="E84" s="1">
        <v>3596569.52</v>
      </c>
      <c r="F84" s="1">
        <v>3596569.52</v>
      </c>
      <c r="G84" s="1">
        <v>3596569.52</v>
      </c>
    </row>
    <row r="85" spans="1:7" x14ac:dyDescent="0.3">
      <c r="A85" t="s">
        <v>117</v>
      </c>
      <c r="B85" t="s">
        <v>117</v>
      </c>
      <c r="C85" t="s">
        <v>21</v>
      </c>
      <c r="D85" t="s">
        <v>131</v>
      </c>
      <c r="E85" s="1">
        <v>3364856.96</v>
      </c>
      <c r="F85" s="1">
        <v>3364856.96</v>
      </c>
      <c r="G85" s="1">
        <v>3364856.96</v>
      </c>
    </row>
    <row r="86" spans="1:7" x14ac:dyDescent="0.3">
      <c r="A86" t="s">
        <v>117</v>
      </c>
      <c r="B86" t="s">
        <v>117</v>
      </c>
      <c r="C86" t="s">
        <v>21</v>
      </c>
      <c r="D86" t="s">
        <v>132</v>
      </c>
      <c r="E86" s="1">
        <v>2494586.44</v>
      </c>
      <c r="F86" s="1">
        <v>2494586.44</v>
      </c>
      <c r="G86" s="1">
        <v>2494586.44</v>
      </c>
    </row>
    <row r="87" spans="1:7" x14ac:dyDescent="0.3">
      <c r="A87" t="s">
        <v>117</v>
      </c>
      <c r="B87" t="s">
        <v>117</v>
      </c>
      <c r="C87" t="s">
        <v>21</v>
      </c>
      <c r="D87" t="s">
        <v>133</v>
      </c>
      <c r="E87" s="1">
        <v>2201017.29</v>
      </c>
      <c r="F87" s="1">
        <v>2201017.29</v>
      </c>
      <c r="G87" s="1">
        <v>2201017.29</v>
      </c>
    </row>
    <row r="88" spans="1:7" x14ac:dyDescent="0.3">
      <c r="A88" t="s">
        <v>117</v>
      </c>
      <c r="B88" t="s">
        <v>117</v>
      </c>
      <c r="C88" t="s">
        <v>21</v>
      </c>
      <c r="D88" t="s">
        <v>77</v>
      </c>
      <c r="E88" s="1">
        <v>1597520.08</v>
      </c>
      <c r="F88" s="1">
        <v>1597520.08</v>
      </c>
      <c r="G88" s="1">
        <v>1597520.08</v>
      </c>
    </row>
    <row r="89" spans="1:7" x14ac:dyDescent="0.3">
      <c r="A89" t="s">
        <v>117</v>
      </c>
      <c r="B89" t="s">
        <v>117</v>
      </c>
      <c r="C89" t="s">
        <v>21</v>
      </c>
      <c r="D89" t="s">
        <v>134</v>
      </c>
      <c r="E89" s="1">
        <v>1037906.26</v>
      </c>
      <c r="F89" s="1">
        <v>1037906.26</v>
      </c>
      <c r="G89" s="1">
        <v>1037906.26</v>
      </c>
    </row>
    <row r="90" spans="1:7" x14ac:dyDescent="0.3">
      <c r="A90" t="s">
        <v>117</v>
      </c>
      <c r="B90" t="s">
        <v>117</v>
      </c>
      <c r="C90" t="s">
        <v>21</v>
      </c>
      <c r="D90" t="s">
        <v>135</v>
      </c>
      <c r="E90" s="1">
        <v>988228.91</v>
      </c>
      <c r="F90" s="1">
        <v>988228.91</v>
      </c>
      <c r="G90" s="1">
        <v>988228.91</v>
      </c>
    </row>
    <row r="91" spans="1:7" x14ac:dyDescent="0.3">
      <c r="A91" t="s">
        <v>117</v>
      </c>
      <c r="B91" t="s">
        <v>117</v>
      </c>
      <c r="C91" t="s">
        <v>21</v>
      </c>
      <c r="D91" t="s">
        <v>136</v>
      </c>
      <c r="E91" s="1">
        <v>869698.21</v>
      </c>
      <c r="F91" s="1">
        <v>869698.21</v>
      </c>
      <c r="G91" s="1">
        <v>869698.21</v>
      </c>
    </row>
    <row r="92" spans="1:7" x14ac:dyDescent="0.3">
      <c r="A92" t="s">
        <v>117</v>
      </c>
      <c r="B92" t="s">
        <v>117</v>
      </c>
      <c r="C92" t="s">
        <v>21</v>
      </c>
      <c r="D92" t="s">
        <v>119</v>
      </c>
      <c r="E92" s="1">
        <v>867545.55</v>
      </c>
      <c r="F92" s="1">
        <v>867545.55</v>
      </c>
      <c r="G92" s="1">
        <v>867545.55</v>
      </c>
    </row>
    <row r="93" spans="1:7" x14ac:dyDescent="0.3">
      <c r="A93" t="s">
        <v>117</v>
      </c>
      <c r="B93" t="s">
        <v>117</v>
      </c>
      <c r="C93" t="s">
        <v>21</v>
      </c>
      <c r="D93" t="s">
        <v>137</v>
      </c>
      <c r="E93" s="1">
        <v>840491.32</v>
      </c>
      <c r="F93" s="1">
        <v>840491.32</v>
      </c>
      <c r="G93" s="1">
        <v>840491.32</v>
      </c>
    </row>
    <row r="94" spans="1:7" x14ac:dyDescent="0.3">
      <c r="A94" t="s">
        <v>117</v>
      </c>
      <c r="B94" t="s">
        <v>117</v>
      </c>
      <c r="C94" t="s">
        <v>21</v>
      </c>
      <c r="D94" t="s">
        <v>75</v>
      </c>
      <c r="E94" s="1">
        <v>828480.24</v>
      </c>
      <c r="F94" s="1">
        <v>828480.24</v>
      </c>
      <c r="G94" s="1">
        <v>828480.24</v>
      </c>
    </row>
    <row r="95" spans="1:7" x14ac:dyDescent="0.3">
      <c r="A95" t="s">
        <v>117</v>
      </c>
      <c r="B95" t="s">
        <v>117</v>
      </c>
      <c r="C95" t="s">
        <v>21</v>
      </c>
      <c r="D95" t="s">
        <v>138</v>
      </c>
      <c r="E95" s="1">
        <v>824600.42</v>
      </c>
      <c r="F95" s="1">
        <v>824600.42</v>
      </c>
      <c r="G95" s="1">
        <v>824600.42</v>
      </c>
    </row>
    <row r="96" spans="1:7" x14ac:dyDescent="0.3">
      <c r="A96" t="s">
        <v>117</v>
      </c>
      <c r="B96" t="s">
        <v>117</v>
      </c>
      <c r="C96" t="s">
        <v>21</v>
      </c>
      <c r="D96" t="s">
        <v>139</v>
      </c>
      <c r="E96" s="1">
        <v>823367.78</v>
      </c>
      <c r="F96" s="1">
        <v>823367.78</v>
      </c>
      <c r="G96" s="1">
        <v>823367.78</v>
      </c>
    </row>
    <row r="97" spans="1:7" x14ac:dyDescent="0.3">
      <c r="A97" t="s">
        <v>117</v>
      </c>
      <c r="B97" t="s">
        <v>117</v>
      </c>
      <c r="C97" t="s">
        <v>21</v>
      </c>
      <c r="D97" t="s">
        <v>140</v>
      </c>
      <c r="E97" s="1">
        <v>678291.42</v>
      </c>
      <c r="F97" s="1">
        <v>678291.42</v>
      </c>
      <c r="G97" s="1">
        <v>678291.42</v>
      </c>
    </row>
    <row r="98" spans="1:7" x14ac:dyDescent="0.3">
      <c r="A98" t="s">
        <v>117</v>
      </c>
      <c r="B98" t="s">
        <v>117</v>
      </c>
      <c r="C98" t="s">
        <v>21</v>
      </c>
      <c r="D98" t="s">
        <v>141</v>
      </c>
      <c r="E98" s="1">
        <v>616525.39</v>
      </c>
      <c r="F98" s="1">
        <v>616525.39</v>
      </c>
      <c r="G98" s="1">
        <v>616525.39</v>
      </c>
    </row>
    <row r="99" spans="1:7" x14ac:dyDescent="0.3">
      <c r="A99" t="s">
        <v>117</v>
      </c>
      <c r="B99" t="s">
        <v>117</v>
      </c>
      <c r="C99" t="s">
        <v>21</v>
      </c>
      <c r="D99" t="s">
        <v>142</v>
      </c>
      <c r="E99" s="1">
        <v>586041.76</v>
      </c>
      <c r="F99" s="1">
        <v>586041.76</v>
      </c>
      <c r="G99" s="1">
        <v>586041.76</v>
      </c>
    </row>
    <row r="100" spans="1:7" x14ac:dyDescent="0.3">
      <c r="A100" t="s">
        <v>117</v>
      </c>
      <c r="B100" t="s">
        <v>117</v>
      </c>
      <c r="C100" t="s">
        <v>21</v>
      </c>
      <c r="D100" t="s">
        <v>143</v>
      </c>
      <c r="E100" s="1">
        <v>534927.17000000004</v>
      </c>
      <c r="F100" s="1">
        <v>534927.17000000004</v>
      </c>
      <c r="G100" s="1">
        <v>534927.17000000004</v>
      </c>
    </row>
    <row r="101" spans="1:7" x14ac:dyDescent="0.3">
      <c r="A101" t="s">
        <v>117</v>
      </c>
      <c r="B101" t="s">
        <v>117</v>
      </c>
      <c r="C101" t="s">
        <v>21</v>
      </c>
      <c r="D101" t="s">
        <v>144</v>
      </c>
      <c r="E101" s="1">
        <v>496759.67</v>
      </c>
      <c r="F101" s="1">
        <v>496759.67</v>
      </c>
      <c r="G101" s="1">
        <v>496759.67</v>
      </c>
    </row>
    <row r="102" spans="1:7" x14ac:dyDescent="0.3">
      <c r="A102" t="s">
        <v>117</v>
      </c>
      <c r="B102" t="s">
        <v>117</v>
      </c>
      <c r="C102" t="s">
        <v>21</v>
      </c>
      <c r="D102" t="s">
        <v>145</v>
      </c>
      <c r="E102" s="1">
        <v>488557.41</v>
      </c>
      <c r="F102" s="1">
        <v>488557.41</v>
      </c>
      <c r="G102" s="1">
        <v>488557.41</v>
      </c>
    </row>
    <row r="103" spans="1:7" x14ac:dyDescent="0.3">
      <c r="A103" t="s">
        <v>117</v>
      </c>
      <c r="B103" t="s">
        <v>117</v>
      </c>
      <c r="C103" t="s">
        <v>21</v>
      </c>
      <c r="D103" t="s">
        <v>58</v>
      </c>
      <c r="E103" s="1">
        <v>468545.04</v>
      </c>
      <c r="F103" s="1">
        <v>468545.04</v>
      </c>
      <c r="G103" s="1">
        <v>468545.04</v>
      </c>
    </row>
    <row r="104" spans="1:7" x14ac:dyDescent="0.3">
      <c r="A104" t="s">
        <v>117</v>
      </c>
      <c r="B104" t="s">
        <v>117</v>
      </c>
      <c r="C104" t="s">
        <v>21</v>
      </c>
      <c r="D104" t="s">
        <v>128</v>
      </c>
      <c r="E104" s="1">
        <v>455359.09</v>
      </c>
      <c r="F104" s="1">
        <v>455359.09</v>
      </c>
      <c r="G104" s="1">
        <v>455359.09</v>
      </c>
    </row>
    <row r="105" spans="1:7" x14ac:dyDescent="0.3">
      <c r="A105" t="s">
        <v>117</v>
      </c>
      <c r="B105" t="s">
        <v>117</v>
      </c>
      <c r="C105" t="s">
        <v>21</v>
      </c>
      <c r="D105" t="s">
        <v>146</v>
      </c>
      <c r="E105" s="1">
        <v>600804.68000000005</v>
      </c>
      <c r="F105" s="1">
        <v>600804.68000000005</v>
      </c>
      <c r="G105" s="1">
        <v>600804.68000000005</v>
      </c>
    </row>
    <row r="106" spans="1:7" x14ac:dyDescent="0.3">
      <c r="A106" t="s">
        <v>117</v>
      </c>
      <c r="B106" t="s">
        <v>117</v>
      </c>
      <c r="C106" t="s">
        <v>21</v>
      </c>
      <c r="D106" t="s">
        <v>147</v>
      </c>
      <c r="E106" s="1">
        <v>402090.7</v>
      </c>
      <c r="F106" s="1">
        <v>402090.7</v>
      </c>
      <c r="G106" s="1">
        <v>402090.7</v>
      </c>
    </row>
    <row r="107" spans="1:7" x14ac:dyDescent="0.3">
      <c r="A107" t="s">
        <v>117</v>
      </c>
      <c r="B107" t="s">
        <v>117</v>
      </c>
      <c r="C107" t="s">
        <v>21</v>
      </c>
      <c r="D107" t="s">
        <v>148</v>
      </c>
      <c r="E107" s="1">
        <v>396751.38</v>
      </c>
      <c r="F107" s="1">
        <v>396751.38</v>
      </c>
      <c r="G107" s="1">
        <v>396751.38</v>
      </c>
    </row>
    <row r="108" spans="1:7" x14ac:dyDescent="0.3">
      <c r="A108" t="s">
        <v>117</v>
      </c>
      <c r="B108" t="s">
        <v>117</v>
      </c>
      <c r="C108" t="s">
        <v>21</v>
      </c>
      <c r="D108" t="s">
        <v>149</v>
      </c>
      <c r="E108" s="1">
        <v>387045.89</v>
      </c>
      <c r="F108" s="1">
        <v>387045.89</v>
      </c>
      <c r="G108" s="1">
        <v>387045.89</v>
      </c>
    </row>
    <row r="109" spans="1:7" x14ac:dyDescent="0.3">
      <c r="A109" t="s">
        <v>117</v>
      </c>
      <c r="B109" t="s">
        <v>117</v>
      </c>
      <c r="C109" t="s">
        <v>21</v>
      </c>
      <c r="D109" t="s">
        <v>150</v>
      </c>
      <c r="E109" s="1">
        <v>371564.04</v>
      </c>
      <c r="F109" s="1">
        <v>371564.04</v>
      </c>
      <c r="G109" s="1">
        <v>371564.04</v>
      </c>
    </row>
    <row r="110" spans="1:7" x14ac:dyDescent="0.3">
      <c r="A110" t="s">
        <v>117</v>
      </c>
      <c r="B110" t="s">
        <v>117</v>
      </c>
      <c r="C110" t="s">
        <v>21</v>
      </c>
      <c r="D110" t="s">
        <v>151</v>
      </c>
      <c r="E110" s="1">
        <v>316906.83</v>
      </c>
      <c r="F110" s="1">
        <v>316906.83</v>
      </c>
      <c r="G110" s="1">
        <v>316906.83</v>
      </c>
    </row>
    <row r="111" spans="1:7" x14ac:dyDescent="0.3">
      <c r="A111" t="s">
        <v>117</v>
      </c>
      <c r="B111" t="s">
        <v>117</v>
      </c>
      <c r="C111" t="s">
        <v>21</v>
      </c>
      <c r="D111" t="s">
        <v>67</v>
      </c>
      <c r="E111" s="1">
        <v>315237.40000000002</v>
      </c>
      <c r="F111" s="1">
        <v>315237.40000000002</v>
      </c>
      <c r="G111" s="1">
        <v>315237.40000000002</v>
      </c>
    </row>
    <row r="112" spans="1:7" x14ac:dyDescent="0.3">
      <c r="A112" t="s">
        <v>117</v>
      </c>
      <c r="B112" t="s">
        <v>117</v>
      </c>
      <c r="C112" t="s">
        <v>21</v>
      </c>
      <c r="D112" t="s">
        <v>152</v>
      </c>
      <c r="E112" s="1">
        <v>264552.73</v>
      </c>
      <c r="F112" s="1">
        <v>264552.73</v>
      </c>
      <c r="G112" s="1">
        <v>264552.73</v>
      </c>
    </row>
    <row r="113" spans="1:7" x14ac:dyDescent="0.3">
      <c r="A113" t="s">
        <v>117</v>
      </c>
      <c r="B113" t="s">
        <v>117</v>
      </c>
      <c r="C113" t="s">
        <v>21</v>
      </c>
      <c r="D113" t="s">
        <v>120</v>
      </c>
      <c r="E113" s="1">
        <v>256899.26</v>
      </c>
      <c r="F113" s="1">
        <v>256899.26</v>
      </c>
      <c r="G113" s="1">
        <v>256899.26</v>
      </c>
    </row>
    <row r="114" spans="1:7" x14ac:dyDescent="0.3">
      <c r="A114" t="s">
        <v>117</v>
      </c>
      <c r="B114" t="s">
        <v>117</v>
      </c>
      <c r="C114" t="s">
        <v>21</v>
      </c>
      <c r="D114" t="s">
        <v>153</v>
      </c>
      <c r="E114" s="1">
        <v>256397.21</v>
      </c>
      <c r="F114" s="1">
        <v>256397.21</v>
      </c>
      <c r="G114" s="1">
        <v>256397.21</v>
      </c>
    </row>
    <row r="115" spans="1:7" x14ac:dyDescent="0.3">
      <c r="A115" t="s">
        <v>117</v>
      </c>
      <c r="B115" t="s">
        <v>117</v>
      </c>
      <c r="C115" t="s">
        <v>21</v>
      </c>
      <c r="D115" t="s">
        <v>154</v>
      </c>
      <c r="E115" s="1">
        <v>249867.61</v>
      </c>
      <c r="F115" s="1">
        <v>249867.61</v>
      </c>
      <c r="G115" s="1">
        <v>249867.61</v>
      </c>
    </row>
    <row r="116" spans="1:7" x14ac:dyDescent="0.3">
      <c r="A116" t="s">
        <v>117</v>
      </c>
      <c r="B116" t="s">
        <v>117</v>
      </c>
      <c r="C116" t="s">
        <v>21</v>
      </c>
      <c r="D116" t="s">
        <v>155</v>
      </c>
      <c r="E116" s="1">
        <v>248120.17</v>
      </c>
      <c r="F116" s="1">
        <v>248120.17</v>
      </c>
      <c r="G116" s="1">
        <v>248120.17</v>
      </c>
    </row>
    <row r="117" spans="1:7" x14ac:dyDescent="0.3">
      <c r="A117" t="s">
        <v>117</v>
      </c>
      <c r="B117" t="s">
        <v>117</v>
      </c>
      <c r="C117" t="s">
        <v>21</v>
      </c>
      <c r="D117" t="s">
        <v>156</v>
      </c>
      <c r="E117" s="1">
        <v>245305.71</v>
      </c>
      <c r="F117" s="1">
        <v>245305.71</v>
      </c>
      <c r="G117" s="1">
        <v>245305.71</v>
      </c>
    </row>
    <row r="118" spans="1:7" x14ac:dyDescent="0.3">
      <c r="A118" t="s">
        <v>117</v>
      </c>
      <c r="B118" t="s">
        <v>117</v>
      </c>
      <c r="C118" t="s">
        <v>21</v>
      </c>
      <c r="D118" t="s">
        <v>157</v>
      </c>
      <c r="E118" s="1">
        <v>242367.67</v>
      </c>
      <c r="F118" s="1">
        <v>242367.67</v>
      </c>
      <c r="G118" s="1">
        <v>242367.67</v>
      </c>
    </row>
    <row r="119" spans="1:7" x14ac:dyDescent="0.3">
      <c r="A119" t="s">
        <v>117</v>
      </c>
      <c r="B119" t="s">
        <v>117</v>
      </c>
      <c r="C119" t="s">
        <v>21</v>
      </c>
      <c r="D119" t="s">
        <v>158</v>
      </c>
      <c r="E119" s="1">
        <v>226195.62</v>
      </c>
      <c r="F119" s="1">
        <v>226195.62</v>
      </c>
      <c r="G119" s="1">
        <v>226195.62</v>
      </c>
    </row>
    <row r="120" spans="1:7" x14ac:dyDescent="0.3">
      <c r="A120" t="s">
        <v>117</v>
      </c>
      <c r="B120" t="s">
        <v>117</v>
      </c>
      <c r="C120" t="s">
        <v>21</v>
      </c>
      <c r="D120" t="s">
        <v>159</v>
      </c>
      <c r="E120" s="1">
        <v>206436.62</v>
      </c>
      <c r="F120" s="1">
        <v>206436.62</v>
      </c>
      <c r="G120" s="1">
        <v>206436.62</v>
      </c>
    </row>
    <row r="121" spans="1:7" x14ac:dyDescent="0.3">
      <c r="A121" t="s">
        <v>117</v>
      </c>
      <c r="B121" t="s">
        <v>117</v>
      </c>
      <c r="C121" t="s">
        <v>21</v>
      </c>
      <c r="D121" t="s">
        <v>71</v>
      </c>
      <c r="E121" s="1">
        <v>194935.16</v>
      </c>
      <c r="F121" s="1">
        <v>194935.16</v>
      </c>
      <c r="G121" s="1">
        <v>194935.16</v>
      </c>
    </row>
    <row r="122" spans="1:7" x14ac:dyDescent="0.3">
      <c r="A122" t="s">
        <v>117</v>
      </c>
      <c r="B122" t="s">
        <v>117</v>
      </c>
      <c r="C122" t="s">
        <v>21</v>
      </c>
      <c r="D122" t="s">
        <v>160</v>
      </c>
      <c r="E122" s="1">
        <v>188172.65</v>
      </c>
      <c r="F122" s="1">
        <v>188172.65</v>
      </c>
      <c r="G122" s="1">
        <v>188172.65</v>
      </c>
    </row>
    <row r="123" spans="1:7" x14ac:dyDescent="0.3">
      <c r="A123" t="s">
        <v>117</v>
      </c>
      <c r="B123" t="s">
        <v>117</v>
      </c>
      <c r="C123" t="s">
        <v>21</v>
      </c>
      <c r="D123" t="s">
        <v>161</v>
      </c>
      <c r="E123" s="1">
        <v>171983.94</v>
      </c>
      <c r="F123" s="1">
        <v>171983.94</v>
      </c>
      <c r="G123" s="1">
        <v>171983.94</v>
      </c>
    </row>
    <row r="124" spans="1:7" x14ac:dyDescent="0.3">
      <c r="A124" t="s">
        <v>117</v>
      </c>
      <c r="B124" t="s">
        <v>117</v>
      </c>
      <c r="C124" t="s">
        <v>21</v>
      </c>
      <c r="D124" t="s">
        <v>162</v>
      </c>
      <c r="E124" s="1">
        <v>157140.5</v>
      </c>
      <c r="F124" s="1">
        <v>157140.5</v>
      </c>
      <c r="G124" s="1">
        <v>157140.5</v>
      </c>
    </row>
    <row r="125" spans="1:7" x14ac:dyDescent="0.3">
      <c r="A125" t="s">
        <v>117</v>
      </c>
      <c r="B125" t="s">
        <v>117</v>
      </c>
      <c r="C125" t="s">
        <v>21</v>
      </c>
      <c r="D125" t="s">
        <v>163</v>
      </c>
      <c r="E125" s="1">
        <v>206670.79</v>
      </c>
      <c r="F125" s="1">
        <v>206670.79</v>
      </c>
      <c r="G125" s="1">
        <v>206670.79</v>
      </c>
    </row>
    <row r="126" spans="1:7" x14ac:dyDescent="0.3">
      <c r="A126" t="s">
        <v>117</v>
      </c>
      <c r="B126" t="s">
        <v>117</v>
      </c>
      <c r="C126" t="s">
        <v>21</v>
      </c>
      <c r="D126" t="s">
        <v>164</v>
      </c>
      <c r="E126" s="1">
        <v>154544.73000000001</v>
      </c>
      <c r="F126" s="1">
        <v>154544.73000000001</v>
      </c>
      <c r="G126" s="1">
        <v>154544.73000000001</v>
      </c>
    </row>
    <row r="127" spans="1:7" x14ac:dyDescent="0.3">
      <c r="A127" t="s">
        <v>117</v>
      </c>
      <c r="B127" t="s">
        <v>117</v>
      </c>
      <c r="C127" t="s">
        <v>21</v>
      </c>
      <c r="D127" t="s">
        <v>165</v>
      </c>
      <c r="E127" s="1">
        <v>148620.63</v>
      </c>
      <c r="F127" s="1">
        <v>148620.63</v>
      </c>
      <c r="G127" s="1">
        <v>148620.63</v>
      </c>
    </row>
    <row r="128" spans="1:7" x14ac:dyDescent="0.3">
      <c r="A128" t="s">
        <v>117</v>
      </c>
      <c r="B128" t="s">
        <v>117</v>
      </c>
      <c r="C128" t="s">
        <v>21</v>
      </c>
      <c r="D128" t="s">
        <v>166</v>
      </c>
      <c r="E128" s="1">
        <v>146414.17000000001</v>
      </c>
      <c r="F128" s="1">
        <v>146414.17000000001</v>
      </c>
      <c r="G128" s="1">
        <v>146414.17000000001</v>
      </c>
    </row>
    <row r="129" spans="1:7" x14ac:dyDescent="0.3">
      <c r="A129" t="s">
        <v>117</v>
      </c>
      <c r="B129" t="s">
        <v>117</v>
      </c>
      <c r="C129" t="s">
        <v>21</v>
      </c>
      <c r="D129" t="s">
        <v>167</v>
      </c>
      <c r="E129" s="1">
        <v>142890.43</v>
      </c>
      <c r="F129" s="1">
        <v>142890.43</v>
      </c>
      <c r="G129" s="1">
        <v>142890.43</v>
      </c>
    </row>
    <row r="130" spans="1:7" x14ac:dyDescent="0.3">
      <c r="A130" t="s">
        <v>117</v>
      </c>
      <c r="B130" t="s">
        <v>117</v>
      </c>
      <c r="C130" t="s">
        <v>21</v>
      </c>
      <c r="D130" t="s">
        <v>168</v>
      </c>
      <c r="E130" s="1">
        <v>130577.64</v>
      </c>
      <c r="F130" s="1">
        <v>130577.64</v>
      </c>
      <c r="G130" s="1">
        <v>130577.64</v>
      </c>
    </row>
    <row r="131" spans="1:7" x14ac:dyDescent="0.3">
      <c r="A131" t="s">
        <v>117</v>
      </c>
      <c r="B131" t="s">
        <v>117</v>
      </c>
      <c r="C131" t="s">
        <v>21</v>
      </c>
      <c r="D131" t="s">
        <v>169</v>
      </c>
      <c r="E131" s="1">
        <v>127462.03</v>
      </c>
      <c r="F131" s="1">
        <v>127462.03</v>
      </c>
      <c r="G131" s="1">
        <v>127462.03</v>
      </c>
    </row>
    <row r="132" spans="1:7" x14ac:dyDescent="0.3">
      <c r="A132" t="s">
        <v>117</v>
      </c>
      <c r="B132" t="s">
        <v>117</v>
      </c>
      <c r="C132" t="s">
        <v>21</v>
      </c>
      <c r="D132" t="s">
        <v>170</v>
      </c>
      <c r="E132" s="1">
        <v>122803.87</v>
      </c>
      <c r="F132" s="1">
        <v>122803.87</v>
      </c>
      <c r="G132" s="1">
        <v>122803.87</v>
      </c>
    </row>
    <row r="133" spans="1:7" x14ac:dyDescent="0.3">
      <c r="A133" t="s">
        <v>117</v>
      </c>
      <c r="B133" t="s">
        <v>117</v>
      </c>
      <c r="C133" t="s">
        <v>21</v>
      </c>
      <c r="D133" t="s">
        <v>171</v>
      </c>
      <c r="E133" s="1">
        <v>121097.71</v>
      </c>
      <c r="F133" s="1">
        <v>121097.71</v>
      </c>
      <c r="G133" s="1">
        <v>121097.71</v>
      </c>
    </row>
    <row r="134" spans="1:7" x14ac:dyDescent="0.3">
      <c r="A134" t="s">
        <v>117</v>
      </c>
      <c r="B134" t="s">
        <v>117</v>
      </c>
      <c r="C134" t="s">
        <v>21</v>
      </c>
      <c r="D134" t="s">
        <v>172</v>
      </c>
      <c r="E134" s="1">
        <v>114479.96</v>
      </c>
      <c r="F134" s="1">
        <v>114479.96</v>
      </c>
      <c r="G134" s="1">
        <v>114479.96</v>
      </c>
    </row>
    <row r="135" spans="1:7" x14ac:dyDescent="0.3">
      <c r="A135" t="s">
        <v>117</v>
      </c>
      <c r="B135" t="s">
        <v>117</v>
      </c>
      <c r="C135" t="s">
        <v>21</v>
      </c>
      <c r="D135" t="s">
        <v>173</v>
      </c>
      <c r="E135" s="1">
        <v>108573.9</v>
      </c>
      <c r="F135" s="1">
        <v>108573.9</v>
      </c>
      <c r="G135" s="1">
        <v>108573.9</v>
      </c>
    </row>
    <row r="136" spans="1:7" x14ac:dyDescent="0.3">
      <c r="A136" t="s">
        <v>117</v>
      </c>
      <c r="B136" t="s">
        <v>117</v>
      </c>
      <c r="C136" t="s">
        <v>21</v>
      </c>
      <c r="D136" t="s">
        <v>174</v>
      </c>
      <c r="E136" s="1">
        <v>106695.27</v>
      </c>
      <c r="F136" s="1">
        <v>106695.27</v>
      </c>
      <c r="G136" s="1">
        <v>106695.27</v>
      </c>
    </row>
    <row r="137" spans="1:7" x14ac:dyDescent="0.3">
      <c r="A137" t="s">
        <v>117</v>
      </c>
      <c r="B137" t="s">
        <v>117</v>
      </c>
      <c r="C137" t="s">
        <v>21</v>
      </c>
      <c r="D137" t="s">
        <v>175</v>
      </c>
      <c r="E137" s="1">
        <v>106473.95</v>
      </c>
      <c r="F137" s="1">
        <v>106473.95</v>
      </c>
      <c r="G137" s="1">
        <v>106473.95</v>
      </c>
    </row>
    <row r="138" spans="1:7" x14ac:dyDescent="0.3">
      <c r="A138" t="s">
        <v>117</v>
      </c>
      <c r="B138" t="s">
        <v>117</v>
      </c>
      <c r="C138" t="s">
        <v>21</v>
      </c>
      <c r="D138" t="s">
        <v>176</v>
      </c>
      <c r="E138" s="1">
        <v>101632.58</v>
      </c>
      <c r="F138" s="1">
        <v>101632.58</v>
      </c>
      <c r="G138" s="1">
        <v>101632.58</v>
      </c>
    </row>
    <row r="139" spans="1:7" x14ac:dyDescent="0.3">
      <c r="A139" t="s">
        <v>117</v>
      </c>
      <c r="B139" t="s">
        <v>117</v>
      </c>
      <c r="C139" t="s">
        <v>21</v>
      </c>
      <c r="D139" t="s">
        <v>177</v>
      </c>
      <c r="E139" s="1">
        <v>96854.8</v>
      </c>
      <c r="F139" s="1">
        <v>96854.8</v>
      </c>
      <c r="G139" s="1">
        <v>96854.8</v>
      </c>
    </row>
    <row r="140" spans="1:7" x14ac:dyDescent="0.3">
      <c r="A140" t="s">
        <v>117</v>
      </c>
      <c r="B140" t="s">
        <v>117</v>
      </c>
      <c r="C140" t="s">
        <v>21</v>
      </c>
      <c r="D140" t="s">
        <v>178</v>
      </c>
      <c r="E140" s="1">
        <v>95665.4</v>
      </c>
      <c r="F140" s="1">
        <v>95665.4</v>
      </c>
      <c r="G140" s="1">
        <v>95665.4</v>
      </c>
    </row>
    <row r="141" spans="1:7" x14ac:dyDescent="0.3">
      <c r="A141" t="s">
        <v>117</v>
      </c>
      <c r="B141" t="s">
        <v>117</v>
      </c>
      <c r="C141" t="s">
        <v>21</v>
      </c>
      <c r="D141" t="s">
        <v>179</v>
      </c>
      <c r="E141" s="1">
        <v>93727.71</v>
      </c>
      <c r="F141" s="1">
        <v>93727.71</v>
      </c>
      <c r="G141" s="1">
        <v>93727.71</v>
      </c>
    </row>
    <row r="142" spans="1:7" x14ac:dyDescent="0.3">
      <c r="A142" t="s">
        <v>117</v>
      </c>
      <c r="B142" t="s">
        <v>117</v>
      </c>
      <c r="C142" t="s">
        <v>21</v>
      </c>
      <c r="D142" t="s">
        <v>180</v>
      </c>
      <c r="E142" s="1">
        <v>85755.33</v>
      </c>
      <c r="F142" s="1">
        <v>85755.33</v>
      </c>
      <c r="G142" s="1">
        <v>85755.33</v>
      </c>
    </row>
    <row r="143" spans="1:7" x14ac:dyDescent="0.3">
      <c r="A143" t="s">
        <v>117</v>
      </c>
      <c r="B143" t="s">
        <v>117</v>
      </c>
      <c r="C143" t="s">
        <v>21</v>
      </c>
      <c r="D143" t="s">
        <v>181</v>
      </c>
      <c r="E143" s="1">
        <v>85317.8</v>
      </c>
      <c r="F143" s="1">
        <v>85317.8</v>
      </c>
      <c r="G143" s="1">
        <v>85317.8</v>
      </c>
    </row>
    <row r="144" spans="1:7" x14ac:dyDescent="0.3">
      <c r="A144" t="s">
        <v>117</v>
      </c>
      <c r="B144" t="s">
        <v>117</v>
      </c>
      <c r="C144" t="s">
        <v>21</v>
      </c>
      <c r="D144" t="s">
        <v>182</v>
      </c>
      <c r="E144" s="1">
        <v>78797.7</v>
      </c>
      <c r="F144" s="1">
        <v>78797.7</v>
      </c>
      <c r="G144" s="1">
        <v>78797.7</v>
      </c>
    </row>
    <row r="145" spans="1:7" x14ac:dyDescent="0.3">
      <c r="A145" t="s">
        <v>117</v>
      </c>
      <c r="B145" t="s">
        <v>117</v>
      </c>
      <c r="C145" t="s">
        <v>21</v>
      </c>
      <c r="D145" t="s">
        <v>183</v>
      </c>
      <c r="E145" s="1">
        <v>75792.02</v>
      </c>
      <c r="F145" s="1">
        <v>75792.02</v>
      </c>
      <c r="G145" s="1">
        <v>75792.02</v>
      </c>
    </row>
    <row r="146" spans="1:7" x14ac:dyDescent="0.3">
      <c r="A146" t="s">
        <v>117</v>
      </c>
      <c r="B146" t="s">
        <v>117</v>
      </c>
      <c r="C146" t="s">
        <v>21</v>
      </c>
      <c r="D146" t="s">
        <v>184</v>
      </c>
      <c r="E146" s="1">
        <v>73753.95</v>
      </c>
      <c r="F146" s="1">
        <v>73753.95</v>
      </c>
      <c r="G146" s="1">
        <v>73753.95</v>
      </c>
    </row>
    <row r="147" spans="1:7" x14ac:dyDescent="0.3">
      <c r="A147" t="s">
        <v>117</v>
      </c>
      <c r="B147" t="s">
        <v>117</v>
      </c>
      <c r="C147" t="s">
        <v>21</v>
      </c>
      <c r="D147" t="s">
        <v>185</v>
      </c>
      <c r="E147" s="1">
        <v>71421.740000000005</v>
      </c>
      <c r="F147" s="1">
        <v>71421.740000000005</v>
      </c>
      <c r="G147" s="1">
        <v>71421.740000000005</v>
      </c>
    </row>
    <row r="148" spans="1:7" x14ac:dyDescent="0.3">
      <c r="A148" t="s">
        <v>117</v>
      </c>
      <c r="B148" t="s">
        <v>117</v>
      </c>
      <c r="C148" t="s">
        <v>21</v>
      </c>
      <c r="D148" t="s">
        <v>186</v>
      </c>
      <c r="E148" s="1">
        <v>68009.539999999994</v>
      </c>
      <c r="F148" s="1">
        <v>68009.539999999994</v>
      </c>
      <c r="G148" s="1">
        <v>68009.539999999994</v>
      </c>
    </row>
    <row r="149" spans="1:7" x14ac:dyDescent="0.3">
      <c r="A149" t="s">
        <v>117</v>
      </c>
      <c r="B149" t="s">
        <v>117</v>
      </c>
      <c r="C149" t="s">
        <v>21</v>
      </c>
      <c r="D149" t="s">
        <v>187</v>
      </c>
      <c r="E149" s="1">
        <v>58438.81</v>
      </c>
      <c r="F149" s="1">
        <v>58438.81</v>
      </c>
      <c r="G149" s="1">
        <v>58438.81</v>
      </c>
    </row>
    <row r="150" spans="1:7" x14ac:dyDescent="0.3">
      <c r="A150" t="s">
        <v>117</v>
      </c>
      <c r="B150" t="s">
        <v>117</v>
      </c>
      <c r="C150" t="s">
        <v>21</v>
      </c>
      <c r="D150" t="s">
        <v>188</v>
      </c>
      <c r="E150" s="1">
        <v>55225.8</v>
      </c>
      <c r="F150" s="1">
        <v>55225.8</v>
      </c>
      <c r="G150" s="1">
        <v>55225.8</v>
      </c>
    </row>
    <row r="151" spans="1:7" x14ac:dyDescent="0.3">
      <c r="A151" t="s">
        <v>117</v>
      </c>
      <c r="B151" t="s">
        <v>117</v>
      </c>
      <c r="C151" t="s">
        <v>21</v>
      </c>
      <c r="D151" t="s">
        <v>189</v>
      </c>
      <c r="E151" s="1">
        <v>53940.33</v>
      </c>
      <c r="F151" s="1">
        <v>53940.33</v>
      </c>
      <c r="G151" s="1">
        <v>53940.33</v>
      </c>
    </row>
    <row r="152" spans="1:7" x14ac:dyDescent="0.3">
      <c r="A152" t="s">
        <v>117</v>
      </c>
      <c r="B152" t="s">
        <v>117</v>
      </c>
      <c r="C152" t="s">
        <v>21</v>
      </c>
      <c r="D152" t="s">
        <v>190</v>
      </c>
      <c r="E152" s="1">
        <v>49184.74</v>
      </c>
      <c r="F152" s="1">
        <v>49184.74</v>
      </c>
      <c r="G152" s="1">
        <v>49184.74</v>
      </c>
    </row>
    <row r="153" spans="1:7" x14ac:dyDescent="0.3">
      <c r="A153" t="s">
        <v>117</v>
      </c>
      <c r="B153" t="s">
        <v>117</v>
      </c>
      <c r="C153" t="s">
        <v>21</v>
      </c>
      <c r="D153" t="s">
        <v>191</v>
      </c>
      <c r="E153" s="1">
        <v>47694.37</v>
      </c>
      <c r="F153" s="1">
        <v>47694.37</v>
      </c>
      <c r="G153" s="1">
        <v>47694.37</v>
      </c>
    </row>
    <row r="154" spans="1:7" x14ac:dyDescent="0.3">
      <c r="A154" t="s">
        <v>117</v>
      </c>
      <c r="B154" t="s">
        <v>117</v>
      </c>
      <c r="C154" t="s">
        <v>21</v>
      </c>
      <c r="D154" t="s">
        <v>192</v>
      </c>
      <c r="E154" s="1">
        <v>46124.18</v>
      </c>
      <c r="F154" s="1">
        <v>46124.18</v>
      </c>
      <c r="G154" s="1">
        <v>46124.18</v>
      </c>
    </row>
    <row r="155" spans="1:7" x14ac:dyDescent="0.3">
      <c r="A155" t="s">
        <v>117</v>
      </c>
      <c r="B155" t="s">
        <v>117</v>
      </c>
      <c r="C155" t="s">
        <v>21</v>
      </c>
      <c r="D155" t="s">
        <v>193</v>
      </c>
      <c r="E155" s="1">
        <v>46080</v>
      </c>
      <c r="F155" s="1">
        <v>46080</v>
      </c>
      <c r="G155" s="1">
        <v>46080</v>
      </c>
    </row>
    <row r="156" spans="1:7" x14ac:dyDescent="0.3">
      <c r="A156" t="s">
        <v>117</v>
      </c>
      <c r="B156" t="s">
        <v>117</v>
      </c>
      <c r="C156" t="s">
        <v>21</v>
      </c>
      <c r="D156" t="s">
        <v>65</v>
      </c>
      <c r="E156" s="1">
        <v>45462.55</v>
      </c>
      <c r="F156" s="1">
        <v>45462.55</v>
      </c>
      <c r="G156" s="1">
        <v>45462.55</v>
      </c>
    </row>
    <row r="157" spans="1:7" x14ac:dyDescent="0.3">
      <c r="A157" t="s">
        <v>117</v>
      </c>
      <c r="B157" t="s">
        <v>117</v>
      </c>
      <c r="C157" t="s">
        <v>21</v>
      </c>
      <c r="D157" t="s">
        <v>194</v>
      </c>
      <c r="E157" s="1">
        <v>41256.78</v>
      </c>
      <c r="F157" s="1">
        <v>41256.78</v>
      </c>
      <c r="G157" s="1">
        <v>41256.78</v>
      </c>
    </row>
    <row r="158" spans="1:7" x14ac:dyDescent="0.3">
      <c r="A158" t="s">
        <v>117</v>
      </c>
      <c r="B158" t="s">
        <v>117</v>
      </c>
      <c r="C158" t="s">
        <v>21</v>
      </c>
      <c r="D158" t="s">
        <v>195</v>
      </c>
      <c r="E158" s="1">
        <v>39617.519999999997</v>
      </c>
      <c r="F158" s="1">
        <v>39617.519999999997</v>
      </c>
      <c r="G158" s="1">
        <v>39617.519999999997</v>
      </c>
    </row>
    <row r="159" spans="1:7" x14ac:dyDescent="0.3">
      <c r="A159" t="s">
        <v>117</v>
      </c>
      <c r="B159" t="s">
        <v>117</v>
      </c>
      <c r="C159" t="s">
        <v>21</v>
      </c>
      <c r="D159" t="s">
        <v>196</v>
      </c>
      <c r="E159" s="1">
        <v>25743.65</v>
      </c>
      <c r="F159" s="1">
        <v>25743.65</v>
      </c>
      <c r="G159" s="1">
        <v>25743.65</v>
      </c>
    </row>
    <row r="160" spans="1:7" x14ac:dyDescent="0.3">
      <c r="A160" t="s">
        <v>117</v>
      </c>
      <c r="B160" t="s">
        <v>117</v>
      </c>
      <c r="C160" t="s">
        <v>21</v>
      </c>
      <c r="D160" t="s">
        <v>197</v>
      </c>
      <c r="E160" s="1">
        <v>20615.02</v>
      </c>
      <c r="F160" s="1">
        <v>20615.02</v>
      </c>
      <c r="G160" s="1">
        <v>20615.02</v>
      </c>
    </row>
    <row r="161" spans="1:7" x14ac:dyDescent="0.3">
      <c r="A161" t="s">
        <v>117</v>
      </c>
      <c r="B161" t="s">
        <v>117</v>
      </c>
      <c r="C161" t="s">
        <v>21</v>
      </c>
      <c r="D161" t="s">
        <v>198</v>
      </c>
      <c r="E161" s="1">
        <v>20423.439999999999</v>
      </c>
      <c r="F161" s="1">
        <v>20423.439999999999</v>
      </c>
      <c r="G161" s="1">
        <v>20423.439999999999</v>
      </c>
    </row>
    <row r="162" spans="1:7" x14ac:dyDescent="0.3">
      <c r="A162" t="s">
        <v>117</v>
      </c>
      <c r="B162" t="s">
        <v>117</v>
      </c>
      <c r="C162" t="s">
        <v>21</v>
      </c>
      <c r="D162" t="s">
        <v>199</v>
      </c>
      <c r="E162" s="1">
        <v>20404.669999999998</v>
      </c>
      <c r="F162" s="1">
        <v>20404.669999999998</v>
      </c>
      <c r="G162" s="1">
        <v>20404.669999999998</v>
      </c>
    </row>
    <row r="163" spans="1:7" x14ac:dyDescent="0.3">
      <c r="A163" t="s">
        <v>117</v>
      </c>
      <c r="B163" t="s">
        <v>117</v>
      </c>
      <c r="C163" t="s">
        <v>21</v>
      </c>
      <c r="D163" t="s">
        <v>200</v>
      </c>
      <c r="E163" s="1">
        <v>19593.38</v>
      </c>
      <c r="F163" s="1">
        <v>19593.38</v>
      </c>
      <c r="G163" s="1">
        <v>19593.38</v>
      </c>
    </row>
    <row r="164" spans="1:7" x14ac:dyDescent="0.3">
      <c r="A164" t="s">
        <v>117</v>
      </c>
      <c r="B164" t="s">
        <v>117</v>
      </c>
      <c r="C164" t="s">
        <v>21</v>
      </c>
      <c r="D164" t="s">
        <v>201</v>
      </c>
      <c r="E164" s="1">
        <v>19378.150000000001</v>
      </c>
      <c r="F164" s="1">
        <v>19378.150000000001</v>
      </c>
      <c r="G164" s="1">
        <v>19378.150000000001</v>
      </c>
    </row>
    <row r="165" spans="1:7" x14ac:dyDescent="0.3">
      <c r="A165" t="s">
        <v>117</v>
      </c>
      <c r="B165" t="s">
        <v>117</v>
      </c>
      <c r="C165" t="s">
        <v>21</v>
      </c>
      <c r="D165" t="s">
        <v>202</v>
      </c>
      <c r="E165" s="1">
        <v>34341.730000000003</v>
      </c>
      <c r="F165" s="1">
        <v>34341.730000000003</v>
      </c>
      <c r="G165" s="1">
        <v>34341.730000000003</v>
      </c>
    </row>
    <row r="166" spans="1:7" x14ac:dyDescent="0.3">
      <c r="A166" t="s">
        <v>117</v>
      </c>
      <c r="B166" t="s">
        <v>117</v>
      </c>
      <c r="C166" t="s">
        <v>21</v>
      </c>
      <c r="D166" t="s">
        <v>10</v>
      </c>
      <c r="E166" s="1">
        <v>38966.01</v>
      </c>
      <c r="F166" s="1">
        <v>38966.01</v>
      </c>
      <c r="G166" s="1">
        <v>38966.01</v>
      </c>
    </row>
    <row r="167" spans="1:7" x14ac:dyDescent="0.3">
      <c r="A167" t="s">
        <v>117</v>
      </c>
      <c r="B167" t="s">
        <v>117</v>
      </c>
      <c r="C167" t="s">
        <v>21</v>
      </c>
      <c r="D167" t="s">
        <v>203</v>
      </c>
      <c r="E167" s="1">
        <v>31866.63</v>
      </c>
      <c r="F167" s="1">
        <v>31866.63</v>
      </c>
      <c r="G167" s="1">
        <v>31866.63</v>
      </c>
    </row>
    <row r="168" spans="1:7" x14ac:dyDescent="0.3">
      <c r="A168" t="s">
        <v>117</v>
      </c>
      <c r="B168" t="s">
        <v>117</v>
      </c>
      <c r="C168" t="s">
        <v>21</v>
      </c>
      <c r="D168" t="s">
        <v>204</v>
      </c>
      <c r="E168" s="1">
        <v>31118.11</v>
      </c>
      <c r="F168" s="1">
        <v>31118.11</v>
      </c>
      <c r="G168" s="1">
        <v>31118.11</v>
      </c>
    </row>
    <row r="169" spans="1:7" x14ac:dyDescent="0.3">
      <c r="A169" t="s">
        <v>117</v>
      </c>
      <c r="B169" t="s">
        <v>117</v>
      </c>
      <c r="C169" t="s">
        <v>21</v>
      </c>
      <c r="D169" t="s">
        <v>124</v>
      </c>
      <c r="E169" s="1">
        <v>29734.37</v>
      </c>
      <c r="F169" s="1">
        <v>29734.37</v>
      </c>
      <c r="G169" s="1">
        <v>29734.37</v>
      </c>
    </row>
    <row r="170" spans="1:7" x14ac:dyDescent="0.3">
      <c r="A170" t="s">
        <v>117</v>
      </c>
      <c r="B170" t="s">
        <v>117</v>
      </c>
      <c r="C170" t="s">
        <v>21</v>
      </c>
      <c r="D170" t="s">
        <v>78</v>
      </c>
      <c r="E170" s="1">
        <v>19541.919999999998</v>
      </c>
      <c r="F170" s="1">
        <v>19541.919999999998</v>
      </c>
      <c r="G170" s="1">
        <v>19541.919999999998</v>
      </c>
    </row>
    <row r="171" spans="1:7" x14ac:dyDescent="0.3">
      <c r="A171" t="s">
        <v>117</v>
      </c>
      <c r="B171" t="s">
        <v>117</v>
      </c>
      <c r="C171" t="s">
        <v>21</v>
      </c>
      <c r="D171" t="s">
        <v>205</v>
      </c>
      <c r="E171" s="1">
        <v>18640.97</v>
      </c>
      <c r="F171" s="1">
        <v>18640.97</v>
      </c>
      <c r="G171" s="1">
        <v>18640.97</v>
      </c>
    </row>
    <row r="172" spans="1:7" x14ac:dyDescent="0.3">
      <c r="A172" t="s">
        <v>117</v>
      </c>
      <c r="B172" t="s">
        <v>117</v>
      </c>
      <c r="C172" t="s">
        <v>21</v>
      </c>
      <c r="D172" t="s">
        <v>206</v>
      </c>
      <c r="E172" s="1">
        <v>15438.47</v>
      </c>
      <c r="F172" s="1">
        <v>15438.47</v>
      </c>
      <c r="G172" s="1">
        <v>15438.47</v>
      </c>
    </row>
    <row r="173" spans="1:7" x14ac:dyDescent="0.3">
      <c r="A173" t="s">
        <v>117</v>
      </c>
      <c r="B173" t="s">
        <v>117</v>
      </c>
      <c r="C173" t="s">
        <v>21</v>
      </c>
      <c r="D173" t="s">
        <v>207</v>
      </c>
      <c r="E173" s="1">
        <v>15378.33</v>
      </c>
      <c r="F173" s="1">
        <v>15378.33</v>
      </c>
      <c r="G173" s="1">
        <v>15378.33</v>
      </c>
    </row>
    <row r="174" spans="1:7" x14ac:dyDescent="0.3">
      <c r="A174" t="s">
        <v>117</v>
      </c>
      <c r="B174" t="s">
        <v>117</v>
      </c>
      <c r="C174" t="s">
        <v>21</v>
      </c>
      <c r="D174" t="s">
        <v>59</v>
      </c>
      <c r="E174" s="1">
        <v>12882.35</v>
      </c>
      <c r="F174" s="1">
        <v>12882.35</v>
      </c>
      <c r="G174" s="1">
        <v>12882.35</v>
      </c>
    </row>
    <row r="175" spans="1:7" x14ac:dyDescent="0.3">
      <c r="A175" t="s">
        <v>117</v>
      </c>
      <c r="B175" t="s">
        <v>117</v>
      </c>
      <c r="C175" t="s">
        <v>21</v>
      </c>
      <c r="D175" t="s">
        <v>208</v>
      </c>
      <c r="E175" s="1">
        <v>12779.4</v>
      </c>
      <c r="F175" s="1">
        <v>12779.4</v>
      </c>
      <c r="G175" s="1">
        <v>12779.4</v>
      </c>
    </row>
    <row r="176" spans="1:7" x14ac:dyDescent="0.3">
      <c r="A176" t="s">
        <v>117</v>
      </c>
      <c r="B176" t="s">
        <v>117</v>
      </c>
      <c r="C176" t="s">
        <v>21</v>
      </c>
      <c r="D176" t="s">
        <v>209</v>
      </c>
      <c r="E176" s="1">
        <v>9969.6200000000008</v>
      </c>
      <c r="F176" s="1">
        <v>9969.6200000000008</v>
      </c>
      <c r="G176" s="1">
        <v>9969.6200000000008</v>
      </c>
    </row>
    <row r="177" spans="1:7" x14ac:dyDescent="0.3">
      <c r="A177" t="s">
        <v>117</v>
      </c>
      <c r="B177" t="s">
        <v>117</v>
      </c>
      <c r="C177" t="s">
        <v>21</v>
      </c>
      <c r="D177" t="s">
        <v>210</v>
      </c>
      <c r="E177" s="1">
        <v>9380.34</v>
      </c>
      <c r="F177" s="1">
        <v>9380.34</v>
      </c>
      <c r="G177" s="1">
        <v>9380.34</v>
      </c>
    </row>
    <row r="178" spans="1:7" x14ac:dyDescent="0.3">
      <c r="A178" t="s">
        <v>117</v>
      </c>
      <c r="B178" t="s">
        <v>117</v>
      </c>
      <c r="C178" t="s">
        <v>21</v>
      </c>
      <c r="D178" t="s">
        <v>211</v>
      </c>
      <c r="E178" s="1">
        <v>9133.35</v>
      </c>
      <c r="F178" s="1">
        <v>9133.35</v>
      </c>
      <c r="G178" s="1">
        <v>9133.35</v>
      </c>
    </row>
    <row r="179" spans="1:7" x14ac:dyDescent="0.3">
      <c r="A179" t="s">
        <v>117</v>
      </c>
      <c r="B179" t="s">
        <v>117</v>
      </c>
      <c r="C179" t="s">
        <v>21</v>
      </c>
      <c r="D179" t="s">
        <v>212</v>
      </c>
      <c r="E179" s="1">
        <v>8909.7099999999991</v>
      </c>
      <c r="F179" s="1">
        <v>8909.7099999999991</v>
      </c>
      <c r="G179" s="1">
        <v>8909.7099999999991</v>
      </c>
    </row>
    <row r="180" spans="1:7" x14ac:dyDescent="0.3">
      <c r="A180" t="s">
        <v>117</v>
      </c>
      <c r="B180" t="s">
        <v>117</v>
      </c>
      <c r="C180" t="s">
        <v>21</v>
      </c>
      <c r="D180" t="s">
        <v>213</v>
      </c>
      <c r="E180" s="1">
        <v>7935.96</v>
      </c>
      <c r="F180" s="1">
        <v>7935.96</v>
      </c>
      <c r="G180" s="1">
        <v>7935.96</v>
      </c>
    </row>
    <row r="181" spans="1:7" x14ac:dyDescent="0.3">
      <c r="A181" t="s">
        <v>117</v>
      </c>
      <c r="B181" t="s">
        <v>117</v>
      </c>
      <c r="C181" t="s">
        <v>21</v>
      </c>
      <c r="D181" t="s">
        <v>214</v>
      </c>
      <c r="E181" s="1">
        <v>7884.05</v>
      </c>
      <c r="F181" s="1">
        <v>7884.05</v>
      </c>
      <c r="G181" s="1">
        <v>7884.05</v>
      </c>
    </row>
    <row r="182" spans="1:7" x14ac:dyDescent="0.3">
      <c r="A182" t="s">
        <v>117</v>
      </c>
      <c r="B182" t="s">
        <v>117</v>
      </c>
      <c r="C182" t="s">
        <v>21</v>
      </c>
      <c r="D182" t="s">
        <v>215</v>
      </c>
      <c r="E182" s="1">
        <v>7656.13</v>
      </c>
      <c r="F182" s="1">
        <v>7656.13</v>
      </c>
      <c r="G182" s="1">
        <v>7656.13</v>
      </c>
    </row>
    <row r="183" spans="1:7" x14ac:dyDescent="0.3">
      <c r="A183" t="s">
        <v>117</v>
      </c>
      <c r="B183" t="s">
        <v>117</v>
      </c>
      <c r="C183" t="s">
        <v>21</v>
      </c>
      <c r="D183" t="s">
        <v>216</v>
      </c>
      <c r="E183" s="1">
        <v>7585.93</v>
      </c>
      <c r="F183" s="1">
        <v>7585.93</v>
      </c>
      <c r="G183" s="1">
        <v>7585.93</v>
      </c>
    </row>
    <row r="184" spans="1:7" x14ac:dyDescent="0.3">
      <c r="A184" t="s">
        <v>117</v>
      </c>
      <c r="B184" t="s">
        <v>117</v>
      </c>
      <c r="C184" t="s">
        <v>21</v>
      </c>
      <c r="D184" t="s">
        <v>217</v>
      </c>
      <c r="E184" s="1">
        <v>7037.97</v>
      </c>
      <c r="F184" s="1">
        <v>7037.97</v>
      </c>
      <c r="G184" s="1">
        <v>7037.97</v>
      </c>
    </row>
    <row r="185" spans="1:7" x14ac:dyDescent="0.3">
      <c r="A185" t="s">
        <v>117</v>
      </c>
      <c r="B185" t="s">
        <v>117</v>
      </c>
      <c r="C185" t="s">
        <v>21</v>
      </c>
      <c r="D185" t="s">
        <v>218</v>
      </c>
      <c r="E185" s="1">
        <v>6879.57</v>
      </c>
      <c r="F185" s="1">
        <v>6879.57</v>
      </c>
      <c r="G185" s="1">
        <v>6879.57</v>
      </c>
    </row>
    <row r="186" spans="1:7" x14ac:dyDescent="0.3">
      <c r="A186" t="s">
        <v>117</v>
      </c>
      <c r="B186" t="s">
        <v>117</v>
      </c>
      <c r="C186" t="s">
        <v>21</v>
      </c>
      <c r="D186" t="s">
        <v>219</v>
      </c>
      <c r="E186" s="1">
        <v>5964.38</v>
      </c>
      <c r="F186" s="1">
        <v>5964.38</v>
      </c>
      <c r="G186" s="1">
        <v>5964.38</v>
      </c>
    </row>
    <row r="187" spans="1:7" x14ac:dyDescent="0.3">
      <c r="A187" t="s">
        <v>117</v>
      </c>
      <c r="B187" t="s">
        <v>117</v>
      </c>
      <c r="C187" t="s">
        <v>21</v>
      </c>
      <c r="D187" t="s">
        <v>220</v>
      </c>
      <c r="E187" s="1">
        <v>5954.81</v>
      </c>
      <c r="F187" s="1">
        <v>5954.81</v>
      </c>
      <c r="G187" s="1">
        <v>5954.81</v>
      </c>
    </row>
    <row r="188" spans="1:7" x14ac:dyDescent="0.3">
      <c r="A188" t="s">
        <v>117</v>
      </c>
      <c r="B188" t="s">
        <v>117</v>
      </c>
      <c r="C188" t="s">
        <v>21</v>
      </c>
      <c r="D188" t="s">
        <v>221</v>
      </c>
      <c r="E188" s="1">
        <v>5514.33</v>
      </c>
      <c r="F188" s="1">
        <v>5514.33</v>
      </c>
      <c r="G188" s="1">
        <v>5514.33</v>
      </c>
    </row>
    <row r="189" spans="1:7" x14ac:dyDescent="0.3">
      <c r="A189" t="s">
        <v>117</v>
      </c>
      <c r="B189" t="s">
        <v>117</v>
      </c>
      <c r="C189" t="s">
        <v>21</v>
      </c>
      <c r="D189" t="s">
        <v>222</v>
      </c>
      <c r="E189" s="1">
        <v>5189.49</v>
      </c>
      <c r="F189" s="1">
        <v>5189.49</v>
      </c>
      <c r="G189" s="1">
        <v>5189.49</v>
      </c>
    </row>
    <row r="190" spans="1:7" x14ac:dyDescent="0.3">
      <c r="A190" t="s">
        <v>117</v>
      </c>
      <c r="B190" t="s">
        <v>117</v>
      </c>
      <c r="C190" t="s">
        <v>21</v>
      </c>
      <c r="D190" t="s">
        <v>223</v>
      </c>
      <c r="E190" s="1">
        <v>5131.6099999999997</v>
      </c>
      <c r="F190" s="1">
        <v>5131.6099999999997</v>
      </c>
      <c r="G190" s="1">
        <v>5131.6099999999997</v>
      </c>
    </row>
    <row r="191" spans="1:7" x14ac:dyDescent="0.3">
      <c r="A191" t="s">
        <v>117</v>
      </c>
      <c r="B191" t="s">
        <v>117</v>
      </c>
      <c r="C191" t="s">
        <v>21</v>
      </c>
      <c r="D191" t="s">
        <v>224</v>
      </c>
      <c r="E191" s="1">
        <v>4882.29</v>
      </c>
      <c r="F191" s="1">
        <v>4882.29</v>
      </c>
      <c r="G191" s="1">
        <v>4882.29</v>
      </c>
    </row>
    <row r="192" spans="1:7" x14ac:dyDescent="0.3">
      <c r="A192" t="s">
        <v>117</v>
      </c>
      <c r="B192" t="s">
        <v>117</v>
      </c>
      <c r="C192" t="s">
        <v>21</v>
      </c>
      <c r="D192" t="s">
        <v>225</v>
      </c>
      <c r="E192" s="1">
        <v>4728.32</v>
      </c>
      <c r="F192" s="1">
        <v>4728.32</v>
      </c>
      <c r="G192" s="1">
        <v>4728.32</v>
      </c>
    </row>
    <row r="193" spans="1:7" x14ac:dyDescent="0.3">
      <c r="A193" t="s">
        <v>117</v>
      </c>
      <c r="B193" t="s">
        <v>117</v>
      </c>
      <c r="C193" t="s">
        <v>21</v>
      </c>
      <c r="D193" t="s">
        <v>226</v>
      </c>
      <c r="E193" s="1">
        <v>4465.29</v>
      </c>
      <c r="F193" s="1">
        <v>4465.29</v>
      </c>
      <c r="G193" s="1">
        <v>4465.29</v>
      </c>
    </row>
    <row r="194" spans="1:7" x14ac:dyDescent="0.3">
      <c r="A194" t="s">
        <v>117</v>
      </c>
      <c r="B194" t="s">
        <v>117</v>
      </c>
      <c r="C194" t="s">
        <v>21</v>
      </c>
      <c r="D194" t="s">
        <v>227</v>
      </c>
      <c r="E194" s="1">
        <v>4011.62</v>
      </c>
      <c r="F194" s="1">
        <v>4011.62</v>
      </c>
      <c r="G194" s="1">
        <v>4011.62</v>
      </c>
    </row>
    <row r="195" spans="1:7" x14ac:dyDescent="0.3">
      <c r="A195" t="s">
        <v>117</v>
      </c>
      <c r="B195" t="s">
        <v>117</v>
      </c>
      <c r="C195" t="s">
        <v>21</v>
      </c>
      <c r="D195" t="s">
        <v>228</v>
      </c>
      <c r="E195" s="1">
        <v>3237.62</v>
      </c>
      <c r="F195" s="1">
        <v>3237.62</v>
      </c>
      <c r="G195" s="1">
        <v>3237.62</v>
      </c>
    </row>
    <row r="196" spans="1:7" x14ac:dyDescent="0.3">
      <c r="A196" t="s">
        <v>117</v>
      </c>
      <c r="B196" t="s">
        <v>117</v>
      </c>
      <c r="C196" t="s">
        <v>21</v>
      </c>
      <c r="D196" t="s">
        <v>229</v>
      </c>
      <c r="E196" s="1">
        <v>3194.83</v>
      </c>
      <c r="F196" s="1">
        <v>3194.83</v>
      </c>
      <c r="G196" s="1">
        <v>3194.83</v>
      </c>
    </row>
    <row r="197" spans="1:7" x14ac:dyDescent="0.3">
      <c r="A197" t="s">
        <v>117</v>
      </c>
      <c r="B197" t="s">
        <v>117</v>
      </c>
      <c r="C197" t="s">
        <v>21</v>
      </c>
      <c r="D197" t="s">
        <v>230</v>
      </c>
      <c r="E197" s="1">
        <v>3057.83</v>
      </c>
      <c r="F197" s="1">
        <v>3057.83</v>
      </c>
      <c r="G197" s="1">
        <v>3057.83</v>
      </c>
    </row>
    <row r="198" spans="1:7" x14ac:dyDescent="0.3">
      <c r="A198" t="s">
        <v>117</v>
      </c>
      <c r="B198" t="s">
        <v>117</v>
      </c>
      <c r="C198" t="s">
        <v>21</v>
      </c>
      <c r="D198" t="s">
        <v>231</v>
      </c>
      <c r="E198" s="1">
        <v>2997.22</v>
      </c>
      <c r="F198" s="1">
        <v>2997.22</v>
      </c>
      <c r="G198" s="1">
        <v>2997.22</v>
      </c>
    </row>
    <row r="199" spans="1:7" x14ac:dyDescent="0.3">
      <c r="A199" t="s">
        <v>117</v>
      </c>
      <c r="B199" t="s">
        <v>117</v>
      </c>
      <c r="C199" t="s">
        <v>21</v>
      </c>
      <c r="D199" t="s">
        <v>232</v>
      </c>
      <c r="E199" s="1">
        <v>2826.5</v>
      </c>
      <c r="F199" s="1">
        <v>2826.5</v>
      </c>
      <c r="G199" s="1">
        <v>2826.5</v>
      </c>
    </row>
    <row r="200" spans="1:7" x14ac:dyDescent="0.3">
      <c r="A200" t="s">
        <v>117</v>
      </c>
      <c r="B200" t="s">
        <v>117</v>
      </c>
      <c r="C200" t="s">
        <v>21</v>
      </c>
      <c r="D200" t="s">
        <v>233</v>
      </c>
      <c r="E200" s="1">
        <v>2321.5100000000002</v>
      </c>
      <c r="F200" s="1">
        <v>2321.5100000000002</v>
      </c>
      <c r="G200" s="1">
        <v>2321.5100000000002</v>
      </c>
    </row>
    <row r="201" spans="1:7" x14ac:dyDescent="0.3">
      <c r="A201" t="s">
        <v>117</v>
      </c>
      <c r="B201" t="s">
        <v>117</v>
      </c>
      <c r="C201" t="s">
        <v>21</v>
      </c>
      <c r="D201" t="s">
        <v>234</v>
      </c>
      <c r="E201" s="1">
        <v>2092.1799999999998</v>
      </c>
      <c r="F201" s="1">
        <v>2092.1799999999998</v>
      </c>
      <c r="G201" s="1">
        <v>2092.1799999999998</v>
      </c>
    </row>
    <row r="202" spans="1:7" x14ac:dyDescent="0.3">
      <c r="A202" t="s">
        <v>117</v>
      </c>
      <c r="B202" t="s">
        <v>117</v>
      </c>
      <c r="C202" t="s">
        <v>21</v>
      </c>
      <c r="D202" t="s">
        <v>235</v>
      </c>
      <c r="E202" s="1">
        <v>1838.11</v>
      </c>
      <c r="F202" s="1">
        <v>1838.11</v>
      </c>
      <c r="G202" s="1">
        <v>1838.11</v>
      </c>
    </row>
    <row r="203" spans="1:7" x14ac:dyDescent="0.3">
      <c r="A203" t="s">
        <v>117</v>
      </c>
      <c r="B203" t="s">
        <v>117</v>
      </c>
      <c r="C203" t="s">
        <v>21</v>
      </c>
      <c r="D203" t="s">
        <v>236</v>
      </c>
      <c r="E203" s="1">
        <v>1014.06</v>
      </c>
      <c r="F203" s="1">
        <v>1014.06</v>
      </c>
      <c r="G203" s="1">
        <v>1014.06</v>
      </c>
    </row>
    <row r="204" spans="1:7" x14ac:dyDescent="0.3">
      <c r="A204" t="s">
        <v>117</v>
      </c>
      <c r="B204" t="s">
        <v>117</v>
      </c>
      <c r="C204" t="s">
        <v>21</v>
      </c>
      <c r="D204" t="s">
        <v>237</v>
      </c>
      <c r="E204" s="1">
        <v>444.43</v>
      </c>
      <c r="F204" s="1">
        <v>444.43</v>
      </c>
      <c r="G204" s="1">
        <v>444.43</v>
      </c>
    </row>
    <row r="205" spans="1:7" x14ac:dyDescent="0.3">
      <c r="A205" t="s">
        <v>117</v>
      </c>
      <c r="B205" t="s">
        <v>117</v>
      </c>
      <c r="C205" t="s">
        <v>22</v>
      </c>
      <c r="D205" t="s">
        <v>128</v>
      </c>
      <c r="E205" s="1">
        <v>31070411.460000001</v>
      </c>
      <c r="F205" s="1">
        <v>31070411.460000001</v>
      </c>
      <c r="G205" s="1">
        <v>31070411.460000001</v>
      </c>
    </row>
    <row r="206" spans="1:7" x14ac:dyDescent="0.3">
      <c r="A206" t="s">
        <v>117</v>
      </c>
      <c r="B206" t="s">
        <v>117</v>
      </c>
      <c r="C206" t="s">
        <v>22</v>
      </c>
      <c r="D206" t="s">
        <v>238</v>
      </c>
      <c r="E206" s="1">
        <v>3322032.9</v>
      </c>
      <c r="F206" s="1">
        <v>3322032.9</v>
      </c>
      <c r="G206" s="1">
        <v>3322032.9</v>
      </c>
    </row>
    <row r="207" spans="1:7" x14ac:dyDescent="0.3">
      <c r="A207" t="s">
        <v>117</v>
      </c>
      <c r="B207" t="s">
        <v>117</v>
      </c>
      <c r="C207" t="s">
        <v>7</v>
      </c>
      <c r="D207" t="s">
        <v>62</v>
      </c>
      <c r="E207" s="1">
        <v>10010366.17</v>
      </c>
      <c r="F207" s="1">
        <v>10010366.17</v>
      </c>
      <c r="G207" s="1">
        <v>10010366.17</v>
      </c>
    </row>
    <row r="208" spans="1:7" x14ac:dyDescent="0.3">
      <c r="A208" t="s">
        <v>117</v>
      </c>
      <c r="B208" t="s">
        <v>117</v>
      </c>
      <c r="C208" t="s">
        <v>7</v>
      </c>
      <c r="D208" t="s">
        <v>77</v>
      </c>
      <c r="E208" s="1">
        <v>4730429.6399999997</v>
      </c>
      <c r="F208" s="1">
        <v>4730429.6399999997</v>
      </c>
      <c r="G208" s="1">
        <v>4730429.6399999997</v>
      </c>
    </row>
    <row r="209" spans="1:7" x14ac:dyDescent="0.3">
      <c r="A209" t="s">
        <v>117</v>
      </c>
      <c r="B209" t="s">
        <v>117</v>
      </c>
      <c r="C209" t="s">
        <v>7</v>
      </c>
      <c r="D209" t="s">
        <v>239</v>
      </c>
      <c r="E209" s="1">
        <v>4099090.05</v>
      </c>
      <c r="F209" s="1">
        <v>4099090.05</v>
      </c>
      <c r="G209" s="1">
        <v>4099090.05</v>
      </c>
    </row>
    <row r="210" spans="1:7" x14ac:dyDescent="0.3">
      <c r="A210" t="s">
        <v>117</v>
      </c>
      <c r="B210" t="s">
        <v>117</v>
      </c>
      <c r="C210" t="s">
        <v>7</v>
      </c>
      <c r="D210" t="s">
        <v>240</v>
      </c>
      <c r="E210" s="1">
        <v>939479.78</v>
      </c>
      <c r="F210" s="1">
        <v>939479.78</v>
      </c>
      <c r="G210" s="1">
        <v>939479.78</v>
      </c>
    </row>
    <row r="211" spans="1:7" x14ac:dyDescent="0.3">
      <c r="A211" t="s">
        <v>117</v>
      </c>
      <c r="B211" t="s">
        <v>117</v>
      </c>
      <c r="C211" t="s">
        <v>28</v>
      </c>
      <c r="D211" t="s">
        <v>127</v>
      </c>
      <c r="E211" s="1">
        <v>18126232.800000001</v>
      </c>
      <c r="F211" s="1">
        <v>18126232.800000001</v>
      </c>
      <c r="G211" s="1">
        <v>18126232.800000001</v>
      </c>
    </row>
    <row r="212" spans="1:7" x14ac:dyDescent="0.3">
      <c r="A212" t="s">
        <v>117</v>
      </c>
      <c r="B212" t="s">
        <v>117</v>
      </c>
      <c r="C212" t="s">
        <v>28</v>
      </c>
      <c r="D212" t="s">
        <v>129</v>
      </c>
      <c r="E212" s="1">
        <v>500000</v>
      </c>
      <c r="F212" s="1">
        <v>500000</v>
      </c>
      <c r="G212" s="1">
        <v>500000</v>
      </c>
    </row>
    <row r="213" spans="1:7" x14ac:dyDescent="0.3">
      <c r="A213" t="s">
        <v>117</v>
      </c>
      <c r="B213" t="s">
        <v>117</v>
      </c>
      <c r="C213" t="s">
        <v>27</v>
      </c>
      <c r="D213" t="s">
        <v>241</v>
      </c>
      <c r="E213" s="1">
        <v>7255568.71</v>
      </c>
      <c r="F213" s="1">
        <v>7255568.71</v>
      </c>
      <c r="G213" s="1">
        <v>7255568.71</v>
      </c>
    </row>
    <row r="214" spans="1:7" x14ac:dyDescent="0.3">
      <c r="A214" t="s">
        <v>117</v>
      </c>
      <c r="B214" t="s">
        <v>117</v>
      </c>
      <c r="C214" t="s">
        <v>27</v>
      </c>
      <c r="D214" t="s">
        <v>242</v>
      </c>
      <c r="E214" s="1">
        <v>5240053.79</v>
      </c>
      <c r="F214" s="1">
        <v>5240053.79</v>
      </c>
      <c r="G214" s="1">
        <v>5240053.79</v>
      </c>
    </row>
    <row r="215" spans="1:7" x14ac:dyDescent="0.3">
      <c r="A215" t="s">
        <v>117</v>
      </c>
      <c r="B215" t="s">
        <v>117</v>
      </c>
      <c r="C215" t="s">
        <v>27</v>
      </c>
      <c r="D215" t="s">
        <v>119</v>
      </c>
      <c r="E215" s="1">
        <v>2997060.5</v>
      </c>
      <c r="F215" s="1">
        <v>2997060.5</v>
      </c>
      <c r="G215" s="1">
        <v>2997060.5</v>
      </c>
    </row>
    <row r="216" spans="1:7" x14ac:dyDescent="0.3">
      <c r="A216" t="s">
        <v>117</v>
      </c>
      <c r="B216" t="s">
        <v>117</v>
      </c>
      <c r="C216" t="s">
        <v>27</v>
      </c>
      <c r="D216" t="s">
        <v>243</v>
      </c>
      <c r="E216" s="1">
        <v>1191425.02</v>
      </c>
      <c r="F216" s="1">
        <v>1191425.02</v>
      </c>
      <c r="G216" s="1">
        <v>1191425.02</v>
      </c>
    </row>
    <row r="217" spans="1:7" x14ac:dyDescent="0.3">
      <c r="A217" t="s">
        <v>117</v>
      </c>
      <c r="B217" t="s">
        <v>117</v>
      </c>
      <c r="C217" t="s">
        <v>33</v>
      </c>
      <c r="D217" t="s">
        <v>126</v>
      </c>
      <c r="E217" s="1">
        <v>16084263</v>
      </c>
      <c r="F217" s="1">
        <v>16084263</v>
      </c>
      <c r="G217" s="1">
        <v>16084263</v>
      </c>
    </row>
    <row r="218" spans="1:7" x14ac:dyDescent="0.3">
      <c r="A218" t="s">
        <v>117</v>
      </c>
      <c r="B218" t="s">
        <v>117</v>
      </c>
      <c r="C218" t="s">
        <v>26</v>
      </c>
      <c r="D218" t="s">
        <v>244</v>
      </c>
      <c r="E218" s="1">
        <v>4835000</v>
      </c>
      <c r="F218" s="1">
        <v>4835000</v>
      </c>
      <c r="G218" s="1">
        <v>4835000</v>
      </c>
    </row>
    <row r="219" spans="1:7" x14ac:dyDescent="0.3">
      <c r="A219" t="s">
        <v>117</v>
      </c>
      <c r="B219" t="s">
        <v>117</v>
      </c>
      <c r="C219" t="s">
        <v>26</v>
      </c>
      <c r="D219" t="s">
        <v>245</v>
      </c>
      <c r="E219" s="1">
        <v>3031503.49</v>
      </c>
      <c r="F219" s="1">
        <v>3031503.49</v>
      </c>
      <c r="G219" s="1">
        <v>3031503.49</v>
      </c>
    </row>
    <row r="220" spans="1:7" x14ac:dyDescent="0.3">
      <c r="A220" t="s">
        <v>117</v>
      </c>
      <c r="B220" t="s">
        <v>117</v>
      </c>
      <c r="C220" t="s">
        <v>26</v>
      </c>
      <c r="D220" t="s">
        <v>246</v>
      </c>
      <c r="E220" s="1">
        <v>3031000</v>
      </c>
      <c r="F220" s="1">
        <v>3031000</v>
      </c>
      <c r="G220" s="1">
        <v>3031000</v>
      </c>
    </row>
    <row r="221" spans="1:7" x14ac:dyDescent="0.3">
      <c r="A221" t="s">
        <v>117</v>
      </c>
      <c r="B221" t="s">
        <v>117</v>
      </c>
      <c r="C221" t="s">
        <v>26</v>
      </c>
      <c r="D221" t="s">
        <v>125</v>
      </c>
      <c r="E221" s="1">
        <v>1422767.8</v>
      </c>
      <c r="F221" s="1">
        <v>1422767.8</v>
      </c>
      <c r="G221" s="1">
        <v>1422767.8</v>
      </c>
    </row>
    <row r="222" spans="1:7" x14ac:dyDescent="0.3">
      <c r="A222" t="s">
        <v>117</v>
      </c>
      <c r="B222" t="s">
        <v>117</v>
      </c>
      <c r="C222" t="s">
        <v>26</v>
      </c>
      <c r="D222" t="s">
        <v>247</v>
      </c>
      <c r="E222" s="1">
        <v>965532.4</v>
      </c>
      <c r="F222" s="1">
        <v>965532.4</v>
      </c>
      <c r="G222" s="1">
        <v>965532.4</v>
      </c>
    </row>
    <row r="223" spans="1:7" x14ac:dyDescent="0.3">
      <c r="A223" t="s">
        <v>117</v>
      </c>
      <c r="B223" t="s">
        <v>117</v>
      </c>
      <c r="C223" t="s">
        <v>26</v>
      </c>
      <c r="D223" t="s">
        <v>248</v>
      </c>
      <c r="E223" s="1">
        <v>725000</v>
      </c>
      <c r="F223" s="1">
        <v>725000</v>
      </c>
      <c r="G223" s="1">
        <v>725000</v>
      </c>
    </row>
    <row r="224" spans="1:7" x14ac:dyDescent="0.3">
      <c r="A224" t="s">
        <v>117</v>
      </c>
      <c r="B224" t="s">
        <v>117</v>
      </c>
      <c r="C224" t="s">
        <v>26</v>
      </c>
      <c r="D224" t="s">
        <v>249</v>
      </c>
      <c r="E224" s="1">
        <v>456000</v>
      </c>
      <c r="F224" s="1">
        <v>456000</v>
      </c>
      <c r="G224" s="1">
        <v>456000</v>
      </c>
    </row>
    <row r="225" spans="1:7" x14ac:dyDescent="0.3">
      <c r="A225" t="s">
        <v>117</v>
      </c>
      <c r="B225" t="s">
        <v>117</v>
      </c>
      <c r="C225" t="s">
        <v>26</v>
      </c>
      <c r="D225" t="s">
        <v>250</v>
      </c>
      <c r="E225" s="1">
        <v>335000</v>
      </c>
      <c r="F225" s="1">
        <v>335000</v>
      </c>
      <c r="G225" s="1">
        <v>335000</v>
      </c>
    </row>
    <row r="226" spans="1:7" x14ac:dyDescent="0.3">
      <c r="A226" t="s">
        <v>117</v>
      </c>
      <c r="B226" t="s">
        <v>117</v>
      </c>
      <c r="C226" t="s">
        <v>26</v>
      </c>
      <c r="D226" t="s">
        <v>251</v>
      </c>
      <c r="E226" s="1">
        <v>189200</v>
      </c>
      <c r="F226" s="1">
        <v>189200</v>
      </c>
      <c r="G226" s="1">
        <v>189200</v>
      </c>
    </row>
    <row r="227" spans="1:7" x14ac:dyDescent="0.3">
      <c r="A227" t="s">
        <v>117</v>
      </c>
      <c r="B227" t="s">
        <v>117</v>
      </c>
      <c r="C227" t="s">
        <v>26</v>
      </c>
      <c r="D227" t="s">
        <v>252</v>
      </c>
      <c r="E227" s="1">
        <v>152726.64000000001</v>
      </c>
      <c r="F227" s="1">
        <v>152726.64000000001</v>
      </c>
      <c r="G227" s="1">
        <v>152726.64000000001</v>
      </c>
    </row>
    <row r="228" spans="1:7" x14ac:dyDescent="0.3">
      <c r="A228" t="s">
        <v>117</v>
      </c>
      <c r="B228" t="s">
        <v>117</v>
      </c>
      <c r="C228" t="s">
        <v>26</v>
      </c>
      <c r="D228" t="s">
        <v>79</v>
      </c>
      <c r="E228" s="1">
        <v>95122.89</v>
      </c>
      <c r="F228" s="1">
        <v>95122.89</v>
      </c>
      <c r="G228" s="1">
        <v>95122.89</v>
      </c>
    </row>
    <row r="229" spans="1:7" x14ac:dyDescent="0.3">
      <c r="A229" t="s">
        <v>117</v>
      </c>
      <c r="B229" t="s">
        <v>117</v>
      </c>
      <c r="C229" t="s">
        <v>26</v>
      </c>
      <c r="D229" t="s">
        <v>253</v>
      </c>
      <c r="E229" s="1">
        <v>50839.73</v>
      </c>
      <c r="F229" s="1">
        <v>50839.73</v>
      </c>
      <c r="G229" s="1">
        <v>50839.73</v>
      </c>
    </row>
    <row r="230" spans="1:7" x14ac:dyDescent="0.3">
      <c r="A230" t="s">
        <v>117</v>
      </c>
      <c r="B230" t="s">
        <v>117</v>
      </c>
      <c r="C230" t="s">
        <v>19</v>
      </c>
      <c r="D230" t="s">
        <v>254</v>
      </c>
      <c r="E230" s="1">
        <v>5288046.9800000004</v>
      </c>
      <c r="F230" s="1">
        <v>5288046.9800000004</v>
      </c>
      <c r="G230" s="1">
        <v>5288046.9800000004</v>
      </c>
    </row>
    <row r="231" spans="1:7" x14ac:dyDescent="0.3">
      <c r="A231" t="s">
        <v>117</v>
      </c>
      <c r="B231" t="s">
        <v>117</v>
      </c>
      <c r="C231" t="s">
        <v>19</v>
      </c>
      <c r="D231" t="s">
        <v>255</v>
      </c>
      <c r="E231" s="1">
        <v>5096167.58</v>
      </c>
      <c r="F231" s="1">
        <v>5096167.58</v>
      </c>
      <c r="G231" s="1">
        <v>5096167.58</v>
      </c>
    </row>
    <row r="232" spans="1:7" x14ac:dyDescent="0.3">
      <c r="A232" t="s">
        <v>117</v>
      </c>
      <c r="B232" t="s">
        <v>117</v>
      </c>
      <c r="C232" t="s">
        <v>19</v>
      </c>
      <c r="D232" t="s">
        <v>73</v>
      </c>
      <c r="E232" s="1">
        <v>2154</v>
      </c>
      <c r="F232" s="1">
        <v>2154</v>
      </c>
      <c r="G232" s="1">
        <v>2154</v>
      </c>
    </row>
    <row r="233" spans="1:7" x14ac:dyDescent="0.3">
      <c r="A233" t="s">
        <v>117</v>
      </c>
      <c r="B233" t="s">
        <v>117</v>
      </c>
      <c r="C233" t="s">
        <v>9</v>
      </c>
      <c r="D233" t="s">
        <v>256</v>
      </c>
      <c r="E233" s="1">
        <v>8908261.75</v>
      </c>
      <c r="F233" s="1">
        <v>8908261.75</v>
      </c>
      <c r="G233" s="1">
        <v>8908261.75</v>
      </c>
    </row>
    <row r="234" spans="1:7" x14ac:dyDescent="0.3">
      <c r="A234" t="s">
        <v>117</v>
      </c>
      <c r="B234" t="s">
        <v>117</v>
      </c>
      <c r="C234" t="s">
        <v>20</v>
      </c>
      <c r="D234" t="s">
        <v>257</v>
      </c>
      <c r="E234" s="1">
        <v>3486650.26</v>
      </c>
      <c r="F234" s="1">
        <v>3486650.26</v>
      </c>
      <c r="G234" s="1">
        <v>3486650.26</v>
      </c>
    </row>
    <row r="235" spans="1:7" x14ac:dyDescent="0.3">
      <c r="A235" t="s">
        <v>117</v>
      </c>
      <c r="B235" t="s">
        <v>117</v>
      </c>
      <c r="C235" t="s">
        <v>20</v>
      </c>
      <c r="D235" t="s">
        <v>258</v>
      </c>
      <c r="E235" s="1">
        <v>755850</v>
      </c>
      <c r="F235" s="1">
        <v>755850</v>
      </c>
      <c r="G235" s="1">
        <v>755850</v>
      </c>
    </row>
    <row r="236" spans="1:7" x14ac:dyDescent="0.3">
      <c r="A236" t="s">
        <v>117</v>
      </c>
      <c r="B236" t="s">
        <v>117</v>
      </c>
      <c r="C236" t="s">
        <v>20</v>
      </c>
      <c r="D236" t="s">
        <v>259</v>
      </c>
      <c r="E236" s="1">
        <v>176236.32</v>
      </c>
      <c r="F236" s="1">
        <v>176236.32</v>
      </c>
      <c r="G236" s="1">
        <v>176236.32</v>
      </c>
    </row>
    <row r="237" spans="1:7" x14ac:dyDescent="0.3">
      <c r="A237" t="s">
        <v>117</v>
      </c>
      <c r="B237" t="s">
        <v>117</v>
      </c>
      <c r="C237" t="s">
        <v>20</v>
      </c>
      <c r="D237" t="s">
        <v>260</v>
      </c>
      <c r="E237" s="1">
        <v>43013.38</v>
      </c>
      <c r="F237" s="1">
        <v>43013.38</v>
      </c>
      <c r="G237" s="1">
        <v>43013.38</v>
      </c>
    </row>
    <row r="238" spans="1:7" x14ac:dyDescent="0.3">
      <c r="A238" t="s">
        <v>117</v>
      </c>
      <c r="B238" t="s">
        <v>117</v>
      </c>
      <c r="C238" t="s">
        <v>18</v>
      </c>
      <c r="D238" t="s">
        <v>261</v>
      </c>
      <c r="E238" s="1">
        <v>1830149.1</v>
      </c>
      <c r="F238" s="1">
        <v>1830149.1</v>
      </c>
      <c r="G238" s="1">
        <v>1830149.1</v>
      </c>
    </row>
    <row r="239" spans="1:7" x14ac:dyDescent="0.3">
      <c r="A239" t="s">
        <v>117</v>
      </c>
      <c r="B239" t="s">
        <v>117</v>
      </c>
      <c r="C239" t="s">
        <v>18</v>
      </c>
      <c r="D239" t="s">
        <v>118</v>
      </c>
      <c r="E239" s="1">
        <v>978710.68</v>
      </c>
      <c r="F239" s="1">
        <v>978710.68</v>
      </c>
      <c r="G239" s="1">
        <v>978710.68</v>
      </c>
    </row>
    <row r="240" spans="1:7" x14ac:dyDescent="0.3">
      <c r="A240" t="s">
        <v>117</v>
      </c>
      <c r="B240" t="s">
        <v>117</v>
      </c>
      <c r="C240" t="s">
        <v>18</v>
      </c>
      <c r="D240" t="s">
        <v>262</v>
      </c>
      <c r="E240" s="1">
        <v>282917</v>
      </c>
      <c r="F240" s="1">
        <v>282917</v>
      </c>
      <c r="G240" s="1">
        <v>282917</v>
      </c>
    </row>
    <row r="241" spans="1:7" x14ac:dyDescent="0.3">
      <c r="A241" t="s">
        <v>117</v>
      </c>
      <c r="B241" t="s">
        <v>117</v>
      </c>
      <c r="C241" t="s">
        <v>18</v>
      </c>
      <c r="D241" t="s">
        <v>263</v>
      </c>
      <c r="E241" s="1">
        <v>243374.11</v>
      </c>
      <c r="F241" s="1">
        <v>243374.11</v>
      </c>
      <c r="G241" s="1">
        <v>243374.11</v>
      </c>
    </row>
    <row r="242" spans="1:7" x14ac:dyDescent="0.3">
      <c r="A242" t="s">
        <v>117</v>
      </c>
      <c r="B242" t="s">
        <v>117</v>
      </c>
      <c r="C242" t="s">
        <v>18</v>
      </c>
      <c r="D242" t="s">
        <v>264</v>
      </c>
      <c r="E242" s="1">
        <v>207380</v>
      </c>
      <c r="F242" s="1">
        <v>207380</v>
      </c>
      <c r="G242" s="1">
        <v>207380</v>
      </c>
    </row>
    <row r="243" spans="1:7" x14ac:dyDescent="0.3">
      <c r="A243" t="s">
        <v>117</v>
      </c>
      <c r="B243" t="s">
        <v>117</v>
      </c>
      <c r="C243" t="s">
        <v>18</v>
      </c>
      <c r="D243" t="s">
        <v>265</v>
      </c>
      <c r="E243" s="1">
        <v>69723</v>
      </c>
      <c r="F243" s="1">
        <v>69723</v>
      </c>
      <c r="G243" s="1">
        <v>69723</v>
      </c>
    </row>
    <row r="244" spans="1:7" x14ac:dyDescent="0.3">
      <c r="A244" t="s">
        <v>117</v>
      </c>
      <c r="B244" t="s">
        <v>117</v>
      </c>
      <c r="C244" t="s">
        <v>18</v>
      </c>
      <c r="D244" t="s">
        <v>266</v>
      </c>
      <c r="E244" s="1">
        <v>15898</v>
      </c>
      <c r="F244" s="1">
        <v>15898</v>
      </c>
      <c r="G244" s="1">
        <v>15898</v>
      </c>
    </row>
    <row r="245" spans="1:7" x14ac:dyDescent="0.3">
      <c r="A245" t="s">
        <v>117</v>
      </c>
      <c r="B245" t="s">
        <v>117</v>
      </c>
      <c r="C245" t="s">
        <v>34</v>
      </c>
      <c r="D245" t="s">
        <v>142</v>
      </c>
      <c r="E245" s="1">
        <v>3224616.72</v>
      </c>
      <c r="F245" s="1">
        <v>3224616.72</v>
      </c>
      <c r="G245" s="1">
        <v>3224616.72</v>
      </c>
    </row>
    <row r="246" spans="1:7" x14ac:dyDescent="0.3">
      <c r="A246" t="s">
        <v>117</v>
      </c>
      <c r="B246" t="s">
        <v>117</v>
      </c>
      <c r="C246" t="s">
        <v>36</v>
      </c>
      <c r="D246" t="s">
        <v>130</v>
      </c>
      <c r="E246" s="1">
        <v>1105068.1200000001</v>
      </c>
      <c r="F246" s="1">
        <v>1105068.1200000001</v>
      </c>
      <c r="G246" s="1">
        <v>1105068.1200000001</v>
      </c>
    </row>
    <row r="247" spans="1:7" x14ac:dyDescent="0.3">
      <c r="A247" t="s">
        <v>117</v>
      </c>
      <c r="B247" t="s">
        <v>117</v>
      </c>
      <c r="C247" t="s">
        <v>36</v>
      </c>
      <c r="D247" t="s">
        <v>267</v>
      </c>
      <c r="E247" s="1">
        <v>66195</v>
      </c>
      <c r="F247" s="1">
        <v>66195</v>
      </c>
      <c r="G247" s="1">
        <v>66195</v>
      </c>
    </row>
    <row r="248" spans="1:7" x14ac:dyDescent="0.3">
      <c r="A248" t="s">
        <v>117</v>
      </c>
      <c r="B248" t="s">
        <v>117</v>
      </c>
      <c r="C248" t="s">
        <v>36</v>
      </c>
      <c r="D248" t="s">
        <v>268</v>
      </c>
      <c r="E248" s="1">
        <v>34127.4</v>
      </c>
      <c r="F248" s="1">
        <v>34127.4</v>
      </c>
      <c r="G248" s="1">
        <v>34127.4</v>
      </c>
    </row>
    <row r="249" spans="1:7" x14ac:dyDescent="0.3">
      <c r="A249" t="s">
        <v>117</v>
      </c>
      <c r="B249" t="s">
        <v>117</v>
      </c>
      <c r="C249" t="s">
        <v>36</v>
      </c>
      <c r="D249" t="s">
        <v>269</v>
      </c>
      <c r="E249" s="1">
        <v>32670</v>
      </c>
      <c r="F249" s="1">
        <v>32670</v>
      </c>
      <c r="G249" s="1">
        <v>32670</v>
      </c>
    </row>
    <row r="250" spans="1:7" x14ac:dyDescent="0.3">
      <c r="A250" t="s">
        <v>117</v>
      </c>
      <c r="B250" t="s">
        <v>117</v>
      </c>
      <c r="C250" t="s">
        <v>36</v>
      </c>
      <c r="D250" t="s">
        <v>125</v>
      </c>
      <c r="E250" s="1">
        <v>13464.96</v>
      </c>
      <c r="F250" s="1">
        <v>13464.96</v>
      </c>
      <c r="G250" s="1">
        <v>13464.96</v>
      </c>
    </row>
    <row r="251" spans="1:7" x14ac:dyDescent="0.3">
      <c r="A251" t="s">
        <v>117</v>
      </c>
      <c r="B251" t="s">
        <v>117</v>
      </c>
      <c r="C251" t="s">
        <v>25</v>
      </c>
      <c r="D251" t="s">
        <v>242</v>
      </c>
      <c r="E251" s="1">
        <v>1073815.6399999999</v>
      </c>
      <c r="F251" s="1">
        <v>1073815.6399999999</v>
      </c>
      <c r="G251" s="1">
        <v>1073815.6399999999</v>
      </c>
    </row>
    <row r="252" spans="1:7" x14ac:dyDescent="0.3">
      <c r="A252" t="s">
        <v>117</v>
      </c>
      <c r="B252" t="s">
        <v>117</v>
      </c>
      <c r="C252" t="s">
        <v>25</v>
      </c>
      <c r="D252" t="s">
        <v>234</v>
      </c>
      <c r="E252" s="1">
        <v>3000</v>
      </c>
      <c r="F252" s="1">
        <v>3000</v>
      </c>
      <c r="G252" s="1">
        <v>3000</v>
      </c>
    </row>
    <row r="253" spans="1:7" x14ac:dyDescent="0.3">
      <c r="A253" t="s">
        <v>117</v>
      </c>
      <c r="B253" t="s">
        <v>117</v>
      </c>
      <c r="C253" t="s">
        <v>24</v>
      </c>
      <c r="D253" t="s">
        <v>125</v>
      </c>
      <c r="E253" s="1">
        <v>341655.05</v>
      </c>
      <c r="F253" s="1">
        <v>341655.05</v>
      </c>
      <c r="G253" s="1">
        <v>341655.05</v>
      </c>
    </row>
    <row r="254" spans="1:7" x14ac:dyDescent="0.3">
      <c r="A254" t="s">
        <v>117</v>
      </c>
      <c r="B254" t="s">
        <v>117</v>
      </c>
      <c r="C254" t="s">
        <v>17</v>
      </c>
      <c r="D254" t="s">
        <v>270</v>
      </c>
      <c r="E254" s="1">
        <v>303825</v>
      </c>
      <c r="F254" s="1">
        <v>303825</v>
      </c>
      <c r="G254" s="1">
        <v>303825</v>
      </c>
    </row>
    <row r="255" spans="1:7" x14ac:dyDescent="0.3">
      <c r="A255" t="s">
        <v>117</v>
      </c>
      <c r="B255" t="s">
        <v>117</v>
      </c>
      <c r="C255" t="s">
        <v>17</v>
      </c>
      <c r="D255" t="s">
        <v>271</v>
      </c>
      <c r="E255" s="1">
        <v>7682</v>
      </c>
      <c r="F255" s="1">
        <v>7682</v>
      </c>
      <c r="G255" s="1">
        <v>7682</v>
      </c>
    </row>
    <row r="256" spans="1:7" x14ac:dyDescent="0.3">
      <c r="A256" t="s">
        <v>117</v>
      </c>
      <c r="B256" t="s">
        <v>117</v>
      </c>
      <c r="C256" t="s">
        <v>35</v>
      </c>
      <c r="D256" t="s">
        <v>272</v>
      </c>
      <c r="E256" s="1">
        <v>24122.7</v>
      </c>
      <c r="F256" s="1">
        <v>24122.7</v>
      </c>
      <c r="G256" s="1">
        <v>24122.7</v>
      </c>
    </row>
    <row r="257" spans="1:7" x14ac:dyDescent="0.3">
      <c r="A257" t="s">
        <v>273</v>
      </c>
      <c r="B257" t="s">
        <v>273</v>
      </c>
      <c r="C257" t="s">
        <v>28</v>
      </c>
      <c r="D257" t="s">
        <v>274</v>
      </c>
      <c r="E257" s="1">
        <v>33484592</v>
      </c>
      <c r="F257" s="1">
        <v>33484592</v>
      </c>
      <c r="G257" s="1">
        <v>33484592</v>
      </c>
    </row>
    <row r="258" spans="1:7" x14ac:dyDescent="0.3">
      <c r="A258" t="s">
        <v>273</v>
      </c>
      <c r="B258" t="s">
        <v>273</v>
      </c>
      <c r="C258" t="s">
        <v>21</v>
      </c>
      <c r="D258" t="s">
        <v>275</v>
      </c>
      <c r="E258" s="1">
        <v>23882063.370000001</v>
      </c>
      <c r="F258" s="1">
        <v>23882063.370000001</v>
      </c>
      <c r="G258" s="1">
        <v>23882063.370000001</v>
      </c>
    </row>
    <row r="259" spans="1:7" x14ac:dyDescent="0.3">
      <c r="A259" t="s">
        <v>273</v>
      </c>
      <c r="B259" t="s">
        <v>273</v>
      </c>
      <c r="C259" t="s">
        <v>21</v>
      </c>
      <c r="D259" t="s">
        <v>276</v>
      </c>
      <c r="E259" s="1">
        <v>2876902.15</v>
      </c>
      <c r="F259" s="1">
        <v>2876902.15</v>
      </c>
      <c r="G259" s="1">
        <v>2876902.15</v>
      </c>
    </row>
    <row r="260" spans="1:7" x14ac:dyDescent="0.3">
      <c r="A260" t="s">
        <v>273</v>
      </c>
      <c r="B260" t="s">
        <v>273</v>
      </c>
      <c r="C260" t="s">
        <v>21</v>
      </c>
      <c r="D260" t="s">
        <v>277</v>
      </c>
      <c r="E260" s="1">
        <v>103227.02</v>
      </c>
      <c r="F260" s="1">
        <v>103227.02</v>
      </c>
      <c r="G260" s="1">
        <v>103227.02</v>
      </c>
    </row>
    <row r="261" spans="1:7" x14ac:dyDescent="0.3">
      <c r="A261" t="s">
        <v>273</v>
      </c>
      <c r="B261" t="s">
        <v>273</v>
      </c>
      <c r="C261" t="s">
        <v>54</v>
      </c>
      <c r="D261" t="s">
        <v>278</v>
      </c>
      <c r="E261" s="1">
        <v>26130864.670000002</v>
      </c>
      <c r="F261" s="1">
        <v>26130864.670000002</v>
      </c>
      <c r="G261" s="1">
        <v>26130864.670000002</v>
      </c>
    </row>
    <row r="262" spans="1:7" x14ac:dyDescent="0.3">
      <c r="A262" t="s">
        <v>273</v>
      </c>
      <c r="B262" t="s">
        <v>273</v>
      </c>
      <c r="C262" t="s">
        <v>22</v>
      </c>
      <c r="D262" t="s">
        <v>279</v>
      </c>
      <c r="E262" s="1">
        <v>10667915.52</v>
      </c>
      <c r="F262" s="1">
        <v>10667915.52</v>
      </c>
      <c r="G262" s="1">
        <v>10667915.52</v>
      </c>
    </row>
    <row r="263" spans="1:7" x14ac:dyDescent="0.3">
      <c r="A263" t="s">
        <v>273</v>
      </c>
      <c r="B263" t="s">
        <v>273</v>
      </c>
      <c r="C263" t="s">
        <v>22</v>
      </c>
      <c r="D263" t="s">
        <v>275</v>
      </c>
      <c r="E263" s="1">
        <v>9575366.5500000007</v>
      </c>
      <c r="F263" s="1">
        <v>9575366.5500000007</v>
      </c>
      <c r="G263" s="1">
        <v>9575366.5500000007</v>
      </c>
    </row>
    <row r="264" spans="1:7" x14ac:dyDescent="0.3">
      <c r="A264" t="s">
        <v>273</v>
      </c>
      <c r="B264" t="s">
        <v>273</v>
      </c>
      <c r="C264" t="s">
        <v>22</v>
      </c>
      <c r="D264" t="s">
        <v>280</v>
      </c>
      <c r="E264" s="1">
        <v>2055374.4</v>
      </c>
      <c r="F264" s="1">
        <v>2055374.4</v>
      </c>
      <c r="G264" s="1">
        <v>2055374.4</v>
      </c>
    </row>
    <row r="265" spans="1:7" x14ac:dyDescent="0.3">
      <c r="A265" t="s">
        <v>273</v>
      </c>
      <c r="B265" t="s">
        <v>273</v>
      </c>
      <c r="C265" t="s">
        <v>22</v>
      </c>
      <c r="D265" t="s">
        <v>281</v>
      </c>
      <c r="E265" s="1">
        <v>278264</v>
      </c>
      <c r="F265" s="1">
        <v>278264</v>
      </c>
      <c r="G265" s="1">
        <v>278264</v>
      </c>
    </row>
    <row r="266" spans="1:7" x14ac:dyDescent="0.3">
      <c r="A266" t="s">
        <v>273</v>
      </c>
      <c r="B266" t="s">
        <v>273</v>
      </c>
      <c r="C266" t="s">
        <v>27</v>
      </c>
      <c r="D266" t="s">
        <v>275</v>
      </c>
      <c r="E266" s="1">
        <v>2715549.6</v>
      </c>
      <c r="F266" s="1">
        <v>2715549.6</v>
      </c>
      <c r="G266" s="1">
        <v>2715549.6</v>
      </c>
    </row>
    <row r="267" spans="1:7" x14ac:dyDescent="0.3">
      <c r="A267" t="s">
        <v>273</v>
      </c>
      <c r="B267" t="s">
        <v>273</v>
      </c>
      <c r="C267" t="s">
        <v>27</v>
      </c>
      <c r="D267" t="s">
        <v>282</v>
      </c>
      <c r="E267" s="1">
        <v>2081079.72</v>
      </c>
      <c r="F267" s="1">
        <v>2081079.72</v>
      </c>
      <c r="G267" s="1">
        <v>2081079.72</v>
      </c>
    </row>
    <row r="268" spans="1:7" x14ac:dyDescent="0.3">
      <c r="A268" t="s">
        <v>273</v>
      </c>
      <c r="B268" t="s">
        <v>273</v>
      </c>
      <c r="C268" t="s">
        <v>26</v>
      </c>
      <c r="D268" t="s">
        <v>283</v>
      </c>
      <c r="E268" s="1">
        <v>4494757.74</v>
      </c>
      <c r="F268" s="1">
        <v>4494757.74</v>
      </c>
      <c r="G268" s="1">
        <v>4494757.74</v>
      </c>
    </row>
    <row r="269" spans="1:7" x14ac:dyDescent="0.3">
      <c r="A269" t="s">
        <v>273</v>
      </c>
      <c r="B269" t="s">
        <v>273</v>
      </c>
      <c r="C269" t="s">
        <v>30</v>
      </c>
      <c r="D269" t="s">
        <v>275</v>
      </c>
      <c r="E269" s="1">
        <v>2224429</v>
      </c>
      <c r="F269" s="1">
        <v>2224429</v>
      </c>
      <c r="G269" s="1">
        <v>2224429</v>
      </c>
    </row>
    <row r="270" spans="1:7" x14ac:dyDescent="0.3">
      <c r="A270" t="s">
        <v>273</v>
      </c>
      <c r="B270" t="s">
        <v>273</v>
      </c>
      <c r="C270" t="s">
        <v>20</v>
      </c>
      <c r="D270" t="s">
        <v>284</v>
      </c>
      <c r="E270" s="1">
        <v>1989410.97</v>
      </c>
      <c r="F270" s="1">
        <v>1989410.97</v>
      </c>
      <c r="G270" s="1">
        <v>1989410.97</v>
      </c>
    </row>
    <row r="271" spans="1:7" x14ac:dyDescent="0.3">
      <c r="A271" t="s">
        <v>273</v>
      </c>
      <c r="B271" t="s">
        <v>273</v>
      </c>
      <c r="C271" t="s">
        <v>25</v>
      </c>
      <c r="D271" t="s">
        <v>285</v>
      </c>
      <c r="E271" s="1">
        <v>1769308.03</v>
      </c>
      <c r="F271" s="1">
        <v>1769308.03</v>
      </c>
      <c r="G271" s="1">
        <v>1769308.03</v>
      </c>
    </row>
    <row r="272" spans="1:7" x14ac:dyDescent="0.3">
      <c r="A272" t="s">
        <v>273</v>
      </c>
      <c r="B272" t="s">
        <v>273</v>
      </c>
      <c r="C272" t="s">
        <v>36</v>
      </c>
      <c r="D272" t="s">
        <v>286</v>
      </c>
      <c r="E272" s="1">
        <v>1337115.6000000001</v>
      </c>
      <c r="F272" s="1">
        <v>1337115.6000000001</v>
      </c>
      <c r="G272" s="1">
        <v>1337115.6000000001</v>
      </c>
    </row>
    <row r="273" spans="1:7" x14ac:dyDescent="0.3">
      <c r="A273" t="s">
        <v>273</v>
      </c>
      <c r="B273" t="s">
        <v>273</v>
      </c>
      <c r="C273" t="s">
        <v>36</v>
      </c>
      <c r="D273" t="s">
        <v>287</v>
      </c>
      <c r="E273" s="1">
        <v>110136.55</v>
      </c>
      <c r="F273" s="1">
        <v>110136.55</v>
      </c>
      <c r="G273" s="1">
        <v>110136.55</v>
      </c>
    </row>
    <row r="274" spans="1:7" x14ac:dyDescent="0.3">
      <c r="A274" t="s">
        <v>273</v>
      </c>
      <c r="B274" t="s">
        <v>273</v>
      </c>
      <c r="C274" t="s">
        <v>36</v>
      </c>
      <c r="D274" t="s">
        <v>288</v>
      </c>
      <c r="E274" s="1">
        <v>107518.96</v>
      </c>
      <c r="F274" s="1">
        <v>107518.96</v>
      </c>
      <c r="G274" s="1">
        <v>107518.96</v>
      </c>
    </row>
    <row r="275" spans="1:7" x14ac:dyDescent="0.3">
      <c r="A275" t="s">
        <v>273</v>
      </c>
      <c r="B275" t="s">
        <v>273</v>
      </c>
      <c r="C275" t="s">
        <v>55</v>
      </c>
      <c r="D275" t="s">
        <v>275</v>
      </c>
      <c r="E275" s="1">
        <v>402904.4</v>
      </c>
      <c r="F275" s="1">
        <v>402904.4</v>
      </c>
      <c r="G275" s="1">
        <v>402904.4</v>
      </c>
    </row>
    <row r="276" spans="1:7" x14ac:dyDescent="0.3">
      <c r="A276" t="s">
        <v>273</v>
      </c>
      <c r="B276" t="s">
        <v>273</v>
      </c>
      <c r="C276" t="s">
        <v>7</v>
      </c>
      <c r="D276" t="s">
        <v>282</v>
      </c>
      <c r="E276" s="1">
        <v>341348.6</v>
      </c>
      <c r="F276" s="1">
        <v>341348.6</v>
      </c>
      <c r="G276" s="1">
        <v>341348.6</v>
      </c>
    </row>
    <row r="277" spans="1:7" x14ac:dyDescent="0.3">
      <c r="A277" t="s">
        <v>273</v>
      </c>
      <c r="B277" t="s">
        <v>273</v>
      </c>
      <c r="C277" t="s">
        <v>31</v>
      </c>
      <c r="D277" t="s">
        <v>289</v>
      </c>
      <c r="E277" s="1">
        <v>134000</v>
      </c>
      <c r="F277" s="1">
        <v>134000</v>
      </c>
      <c r="G277" s="1">
        <v>134000</v>
      </c>
    </row>
    <row r="278" spans="1:7" x14ac:dyDescent="0.3">
      <c r="A278" t="s">
        <v>273</v>
      </c>
      <c r="B278" t="s">
        <v>273</v>
      </c>
      <c r="C278" t="s">
        <v>18</v>
      </c>
      <c r="D278" t="s">
        <v>290</v>
      </c>
      <c r="E278" s="1">
        <v>36660</v>
      </c>
      <c r="F278" s="1">
        <v>36660</v>
      </c>
      <c r="G278" s="1">
        <v>36660</v>
      </c>
    </row>
    <row r="279" spans="1:7" x14ac:dyDescent="0.3">
      <c r="A279" t="s">
        <v>15</v>
      </c>
      <c r="B279" t="s">
        <v>15</v>
      </c>
      <c r="C279" t="s">
        <v>26</v>
      </c>
      <c r="D279" t="s">
        <v>291</v>
      </c>
      <c r="E279" s="1">
        <v>396125198.44999999</v>
      </c>
      <c r="F279" s="1">
        <v>396125198.44999999</v>
      </c>
      <c r="G279" s="1">
        <v>396125198.44999999</v>
      </c>
    </row>
    <row r="280" spans="1:7" x14ac:dyDescent="0.3">
      <c r="A280" t="s">
        <v>15</v>
      </c>
      <c r="B280" t="s">
        <v>15</v>
      </c>
      <c r="C280" t="s">
        <v>26</v>
      </c>
      <c r="D280" t="s">
        <v>292</v>
      </c>
      <c r="E280" s="1">
        <v>10979540</v>
      </c>
      <c r="F280" s="1">
        <v>10979540</v>
      </c>
      <c r="G280" s="1">
        <v>10979540</v>
      </c>
    </row>
    <row r="281" spans="1:7" x14ac:dyDescent="0.3">
      <c r="A281" t="s">
        <v>15</v>
      </c>
      <c r="B281" t="s">
        <v>15</v>
      </c>
      <c r="C281" t="s">
        <v>26</v>
      </c>
      <c r="D281" t="s">
        <v>293</v>
      </c>
      <c r="E281" s="1">
        <v>4633555.29</v>
      </c>
      <c r="F281" s="1">
        <v>4633555.29</v>
      </c>
      <c r="G281" s="1">
        <v>4633555.29</v>
      </c>
    </row>
    <row r="282" spans="1:7" x14ac:dyDescent="0.3">
      <c r="A282" t="s">
        <v>15</v>
      </c>
      <c r="B282" t="s">
        <v>15</v>
      </c>
      <c r="C282" t="s">
        <v>26</v>
      </c>
      <c r="D282" t="s">
        <v>294</v>
      </c>
      <c r="E282" s="1">
        <v>4079198.39</v>
      </c>
      <c r="F282" s="1">
        <v>4079198.39</v>
      </c>
      <c r="G282" s="1">
        <v>4079198.39</v>
      </c>
    </row>
    <row r="283" spans="1:7" x14ac:dyDescent="0.3">
      <c r="A283" t="s">
        <v>15</v>
      </c>
      <c r="B283" t="s">
        <v>15</v>
      </c>
      <c r="C283" t="s">
        <v>26</v>
      </c>
      <c r="D283" t="s">
        <v>295</v>
      </c>
      <c r="E283" s="1">
        <v>3294696.73</v>
      </c>
      <c r="F283" s="1">
        <v>3294696.73</v>
      </c>
      <c r="G283" s="1">
        <v>3294696.73</v>
      </c>
    </row>
    <row r="284" spans="1:7" x14ac:dyDescent="0.3">
      <c r="A284" t="s">
        <v>15</v>
      </c>
      <c r="B284" t="s">
        <v>15</v>
      </c>
      <c r="C284" t="s">
        <v>26</v>
      </c>
      <c r="D284" t="s">
        <v>296</v>
      </c>
      <c r="E284" s="1">
        <v>2365625</v>
      </c>
      <c r="F284" s="1">
        <v>2365625</v>
      </c>
      <c r="G284" s="1">
        <v>2365625</v>
      </c>
    </row>
    <row r="285" spans="1:7" x14ac:dyDescent="0.3">
      <c r="A285" t="s">
        <v>15</v>
      </c>
      <c r="B285" t="s">
        <v>15</v>
      </c>
      <c r="C285" t="s">
        <v>26</v>
      </c>
      <c r="D285" t="s">
        <v>297</v>
      </c>
      <c r="E285" s="1">
        <v>729145.9</v>
      </c>
      <c r="F285" s="1">
        <v>729145.9</v>
      </c>
      <c r="G285" s="1">
        <v>729145.9</v>
      </c>
    </row>
    <row r="286" spans="1:7" x14ac:dyDescent="0.3">
      <c r="A286" t="s">
        <v>15</v>
      </c>
      <c r="B286" t="s">
        <v>15</v>
      </c>
      <c r="C286" t="s">
        <v>26</v>
      </c>
      <c r="D286" t="s">
        <v>298</v>
      </c>
      <c r="E286" s="1">
        <v>599360.4</v>
      </c>
      <c r="F286" s="1">
        <v>599360.4</v>
      </c>
      <c r="G286" s="1">
        <v>599360.4</v>
      </c>
    </row>
    <row r="287" spans="1:7" x14ac:dyDescent="0.3">
      <c r="A287" t="s">
        <v>15</v>
      </c>
      <c r="B287" t="s">
        <v>15</v>
      </c>
      <c r="C287" t="s">
        <v>26</v>
      </c>
      <c r="D287" t="s">
        <v>299</v>
      </c>
      <c r="E287" s="1">
        <v>113805.6</v>
      </c>
      <c r="F287" s="1">
        <v>113805.6</v>
      </c>
      <c r="G287" s="1">
        <v>113805.6</v>
      </c>
    </row>
    <row r="288" spans="1:7" x14ac:dyDescent="0.3">
      <c r="A288" t="s">
        <v>15</v>
      </c>
      <c r="B288" t="s">
        <v>15</v>
      </c>
      <c r="C288" t="s">
        <v>21</v>
      </c>
      <c r="D288" t="s">
        <v>70</v>
      </c>
      <c r="E288" s="1">
        <v>77376437.760000005</v>
      </c>
      <c r="F288" s="1">
        <v>77376437.760000005</v>
      </c>
      <c r="G288" s="1">
        <v>77376437.760000005</v>
      </c>
    </row>
    <row r="289" spans="1:7" x14ac:dyDescent="0.3">
      <c r="A289" t="s">
        <v>15</v>
      </c>
      <c r="B289" t="s">
        <v>15</v>
      </c>
      <c r="C289" t="s">
        <v>21</v>
      </c>
      <c r="D289" t="s">
        <v>294</v>
      </c>
      <c r="E289" s="1">
        <v>13458355.59</v>
      </c>
      <c r="F289" s="1">
        <v>13458355.59</v>
      </c>
      <c r="G289" s="1">
        <v>13458355.59</v>
      </c>
    </row>
    <row r="290" spans="1:7" x14ac:dyDescent="0.3">
      <c r="A290" t="s">
        <v>15</v>
      </c>
      <c r="B290" t="s">
        <v>15</v>
      </c>
      <c r="C290" t="s">
        <v>21</v>
      </c>
      <c r="D290" t="s">
        <v>300</v>
      </c>
      <c r="E290" s="1">
        <v>6911900.8399999999</v>
      </c>
      <c r="F290" s="1">
        <v>6911900.8399999999</v>
      </c>
      <c r="G290" s="1">
        <v>6911900.8399999999</v>
      </c>
    </row>
    <row r="291" spans="1:7" x14ac:dyDescent="0.3">
      <c r="A291" t="s">
        <v>15</v>
      </c>
      <c r="B291" t="s">
        <v>15</v>
      </c>
      <c r="C291" t="s">
        <v>21</v>
      </c>
      <c r="D291" t="s">
        <v>301</v>
      </c>
      <c r="E291" s="1">
        <v>5486727.4299999997</v>
      </c>
      <c r="F291" s="1">
        <v>5486727.4299999997</v>
      </c>
      <c r="G291" s="1">
        <v>5486727.4299999997</v>
      </c>
    </row>
    <row r="292" spans="1:7" x14ac:dyDescent="0.3">
      <c r="A292" t="s">
        <v>15</v>
      </c>
      <c r="B292" t="s">
        <v>15</v>
      </c>
      <c r="C292" t="s">
        <v>21</v>
      </c>
      <c r="D292" t="s">
        <v>302</v>
      </c>
      <c r="E292" s="1">
        <v>4950294.8099999996</v>
      </c>
      <c r="F292" s="1">
        <v>4950294.8099999996</v>
      </c>
      <c r="G292" s="1">
        <v>4950294.8099999996</v>
      </c>
    </row>
    <row r="293" spans="1:7" x14ac:dyDescent="0.3">
      <c r="A293" t="s">
        <v>15</v>
      </c>
      <c r="B293" t="s">
        <v>15</v>
      </c>
      <c r="C293" t="s">
        <v>21</v>
      </c>
      <c r="D293" t="s">
        <v>303</v>
      </c>
      <c r="E293" s="1">
        <v>3623071.47</v>
      </c>
      <c r="F293" s="1">
        <v>3623071.47</v>
      </c>
      <c r="G293" s="1">
        <v>3623071.47</v>
      </c>
    </row>
    <row r="294" spans="1:7" x14ac:dyDescent="0.3">
      <c r="A294" t="s">
        <v>15</v>
      </c>
      <c r="B294" t="s">
        <v>15</v>
      </c>
      <c r="C294" t="s">
        <v>21</v>
      </c>
      <c r="D294" t="s">
        <v>304</v>
      </c>
      <c r="E294" s="1">
        <v>169061.4</v>
      </c>
      <c r="F294" s="1">
        <v>169061.4</v>
      </c>
      <c r="G294" s="1">
        <v>169061.4</v>
      </c>
    </row>
    <row r="295" spans="1:7" x14ac:dyDescent="0.3">
      <c r="A295" t="s">
        <v>15</v>
      </c>
      <c r="B295" t="s">
        <v>15</v>
      </c>
      <c r="C295" t="s">
        <v>21</v>
      </c>
      <c r="D295" t="s">
        <v>305</v>
      </c>
      <c r="E295" s="1">
        <v>137772.53</v>
      </c>
      <c r="F295" s="1">
        <v>137772.53</v>
      </c>
      <c r="G295" s="1">
        <v>137772.53</v>
      </c>
    </row>
    <row r="296" spans="1:7" x14ac:dyDescent="0.3">
      <c r="A296" t="s">
        <v>15</v>
      </c>
      <c r="B296" t="s">
        <v>15</v>
      </c>
      <c r="C296" t="s">
        <v>21</v>
      </c>
      <c r="D296" t="s">
        <v>306</v>
      </c>
      <c r="E296" s="1">
        <v>77867.710000000006</v>
      </c>
      <c r="F296" s="1">
        <v>77867.710000000006</v>
      </c>
      <c r="G296" s="1">
        <v>77867.710000000006</v>
      </c>
    </row>
    <row r="297" spans="1:7" x14ac:dyDescent="0.3">
      <c r="A297" t="s">
        <v>15</v>
      </c>
      <c r="B297" t="s">
        <v>15</v>
      </c>
      <c r="C297" t="s">
        <v>21</v>
      </c>
      <c r="D297" t="s">
        <v>307</v>
      </c>
      <c r="E297" s="1">
        <v>50875.42</v>
      </c>
      <c r="F297" s="1">
        <v>50875.42</v>
      </c>
      <c r="G297" s="1">
        <v>50875.42</v>
      </c>
    </row>
    <row r="298" spans="1:7" x14ac:dyDescent="0.3">
      <c r="A298" t="s">
        <v>15</v>
      </c>
      <c r="B298" t="s">
        <v>15</v>
      </c>
      <c r="C298" t="s">
        <v>22</v>
      </c>
      <c r="D298" t="s">
        <v>308</v>
      </c>
      <c r="E298" s="1">
        <v>27128850.48</v>
      </c>
      <c r="F298" s="1">
        <v>27128850.48</v>
      </c>
      <c r="G298" s="1">
        <v>27128850.48</v>
      </c>
    </row>
    <row r="299" spans="1:7" x14ac:dyDescent="0.3">
      <c r="A299" t="s">
        <v>15</v>
      </c>
      <c r="B299" t="s">
        <v>15</v>
      </c>
      <c r="C299" t="s">
        <v>22</v>
      </c>
      <c r="D299" t="s">
        <v>309</v>
      </c>
      <c r="E299" s="1">
        <v>6392382.9800000004</v>
      </c>
      <c r="F299" s="1">
        <v>6392382.9800000004</v>
      </c>
      <c r="G299" s="1">
        <v>6392382.9800000004</v>
      </c>
    </row>
    <row r="300" spans="1:7" x14ac:dyDescent="0.3">
      <c r="A300" t="s">
        <v>15</v>
      </c>
      <c r="B300" t="s">
        <v>15</v>
      </c>
      <c r="C300" t="s">
        <v>22</v>
      </c>
      <c r="D300" t="s">
        <v>293</v>
      </c>
      <c r="E300" s="1">
        <v>5980243.4400000004</v>
      </c>
      <c r="F300" s="1">
        <v>5980243.4400000004</v>
      </c>
      <c r="G300" s="1">
        <v>5980243.4400000004</v>
      </c>
    </row>
    <row r="301" spans="1:7" x14ac:dyDescent="0.3">
      <c r="A301" t="s">
        <v>15</v>
      </c>
      <c r="B301" t="s">
        <v>15</v>
      </c>
      <c r="C301" t="s">
        <v>22</v>
      </c>
      <c r="D301" t="s">
        <v>310</v>
      </c>
      <c r="E301" s="1">
        <v>2904165.48</v>
      </c>
      <c r="F301" s="1">
        <v>2904165.48</v>
      </c>
      <c r="G301" s="1">
        <v>2904165.48</v>
      </c>
    </row>
    <row r="302" spans="1:7" x14ac:dyDescent="0.3">
      <c r="A302" t="s">
        <v>15</v>
      </c>
      <c r="B302" t="s">
        <v>15</v>
      </c>
      <c r="C302" t="s">
        <v>22</v>
      </c>
      <c r="D302" t="s">
        <v>311</v>
      </c>
      <c r="E302" s="1">
        <v>2065762.16</v>
      </c>
      <c r="F302" s="1">
        <v>2065762.16</v>
      </c>
      <c r="G302" s="1">
        <v>2065762.16</v>
      </c>
    </row>
    <row r="303" spans="1:7" x14ac:dyDescent="0.3">
      <c r="A303" t="s">
        <v>15</v>
      </c>
      <c r="B303" t="s">
        <v>15</v>
      </c>
      <c r="C303" t="s">
        <v>22</v>
      </c>
      <c r="D303" t="s">
        <v>312</v>
      </c>
      <c r="E303" s="1">
        <v>1039240.6</v>
      </c>
      <c r="F303" s="1">
        <v>1039240.6</v>
      </c>
      <c r="G303" s="1">
        <v>1039240.6</v>
      </c>
    </row>
    <row r="304" spans="1:7" x14ac:dyDescent="0.3">
      <c r="A304" t="s">
        <v>15</v>
      </c>
      <c r="B304" t="s">
        <v>15</v>
      </c>
      <c r="C304" t="s">
        <v>22</v>
      </c>
      <c r="D304" t="s">
        <v>313</v>
      </c>
      <c r="E304" s="1">
        <v>848013.55</v>
      </c>
      <c r="F304" s="1">
        <v>848013.55</v>
      </c>
      <c r="G304" s="1">
        <v>848013.55</v>
      </c>
    </row>
    <row r="305" spans="1:7" x14ac:dyDescent="0.3">
      <c r="A305" t="s">
        <v>15</v>
      </c>
      <c r="B305" t="s">
        <v>15</v>
      </c>
      <c r="C305" t="s">
        <v>22</v>
      </c>
      <c r="D305" t="s">
        <v>295</v>
      </c>
      <c r="E305" s="1">
        <v>576642.88</v>
      </c>
      <c r="F305" s="1">
        <v>576642.88</v>
      </c>
      <c r="G305" s="1">
        <v>576642.88</v>
      </c>
    </row>
    <row r="306" spans="1:7" x14ac:dyDescent="0.3">
      <c r="A306" t="s">
        <v>15</v>
      </c>
      <c r="B306" t="s">
        <v>15</v>
      </c>
      <c r="C306" t="s">
        <v>22</v>
      </c>
      <c r="D306" t="s">
        <v>314</v>
      </c>
      <c r="E306" s="1">
        <v>418669.04</v>
      </c>
      <c r="F306" s="1">
        <v>418669.04</v>
      </c>
      <c r="G306" s="1">
        <v>418669.04</v>
      </c>
    </row>
    <row r="307" spans="1:7" x14ac:dyDescent="0.3">
      <c r="A307" t="s">
        <v>15</v>
      </c>
      <c r="B307" t="s">
        <v>15</v>
      </c>
      <c r="C307" t="s">
        <v>54</v>
      </c>
      <c r="D307" t="s">
        <v>308</v>
      </c>
      <c r="E307" s="1">
        <v>18998272.719999999</v>
      </c>
      <c r="F307" s="1">
        <v>18998272.719999999</v>
      </c>
      <c r="G307" s="1">
        <v>18998272.719999999</v>
      </c>
    </row>
    <row r="308" spans="1:7" x14ac:dyDescent="0.3">
      <c r="A308" t="s">
        <v>15</v>
      </c>
      <c r="B308" t="s">
        <v>15</v>
      </c>
      <c r="C308" t="s">
        <v>54</v>
      </c>
      <c r="D308" t="s">
        <v>315</v>
      </c>
      <c r="E308" s="1">
        <v>15181294.1</v>
      </c>
      <c r="F308" s="1">
        <v>15181294.1</v>
      </c>
      <c r="G308" s="1">
        <v>15181294.1</v>
      </c>
    </row>
    <row r="309" spans="1:7" x14ac:dyDescent="0.3">
      <c r="A309" t="s">
        <v>15</v>
      </c>
      <c r="B309" t="s">
        <v>15</v>
      </c>
      <c r="C309" t="s">
        <v>54</v>
      </c>
      <c r="D309" t="s">
        <v>309</v>
      </c>
      <c r="E309" s="1">
        <v>14357877.99</v>
      </c>
      <c r="F309" s="1">
        <v>14357877.99</v>
      </c>
      <c r="G309" s="1">
        <v>14357877.99</v>
      </c>
    </row>
    <row r="310" spans="1:7" x14ac:dyDescent="0.3">
      <c r="A310" t="s">
        <v>15</v>
      </c>
      <c r="B310" t="s">
        <v>15</v>
      </c>
      <c r="C310" t="s">
        <v>60</v>
      </c>
      <c r="D310" t="s">
        <v>316</v>
      </c>
      <c r="E310" s="1">
        <v>19719806.399999999</v>
      </c>
      <c r="F310" s="1">
        <v>19719806.399999999</v>
      </c>
      <c r="G310" s="1">
        <v>19719806.399999999</v>
      </c>
    </row>
    <row r="311" spans="1:7" x14ac:dyDescent="0.3">
      <c r="A311" t="s">
        <v>15</v>
      </c>
      <c r="B311" t="s">
        <v>15</v>
      </c>
      <c r="C311" t="s">
        <v>60</v>
      </c>
      <c r="D311" t="s">
        <v>317</v>
      </c>
      <c r="E311" s="1">
        <v>6941959.7999999998</v>
      </c>
      <c r="F311" s="1">
        <v>6941959.7999999998</v>
      </c>
      <c r="G311" s="1">
        <v>6941959.7999999998</v>
      </c>
    </row>
    <row r="312" spans="1:7" x14ac:dyDescent="0.3">
      <c r="A312" t="s">
        <v>15</v>
      </c>
      <c r="B312" t="s">
        <v>15</v>
      </c>
      <c r="C312" t="s">
        <v>60</v>
      </c>
      <c r="D312" t="s">
        <v>318</v>
      </c>
      <c r="E312" s="1">
        <v>1142542.8</v>
      </c>
      <c r="F312" s="1">
        <v>1142542.8</v>
      </c>
      <c r="G312" s="1">
        <v>1142542.8</v>
      </c>
    </row>
    <row r="313" spans="1:7" x14ac:dyDescent="0.3">
      <c r="A313" t="s">
        <v>15</v>
      </c>
      <c r="B313" t="s">
        <v>15</v>
      </c>
      <c r="C313" t="s">
        <v>60</v>
      </c>
      <c r="D313" t="s">
        <v>319</v>
      </c>
      <c r="E313" s="1">
        <v>34334.76</v>
      </c>
      <c r="F313" s="1">
        <v>34334.76</v>
      </c>
      <c r="G313" s="1">
        <v>34334.76</v>
      </c>
    </row>
    <row r="314" spans="1:7" x14ac:dyDescent="0.3">
      <c r="A314" t="s">
        <v>15</v>
      </c>
      <c r="B314" t="s">
        <v>15</v>
      </c>
      <c r="C314" t="s">
        <v>28</v>
      </c>
      <c r="D314" t="s">
        <v>315</v>
      </c>
      <c r="E314" s="1">
        <v>20039197.800000001</v>
      </c>
      <c r="F314" s="1">
        <v>20039197.800000001</v>
      </c>
      <c r="G314" s="1">
        <v>20039197.800000001</v>
      </c>
    </row>
    <row r="315" spans="1:7" x14ac:dyDescent="0.3">
      <c r="A315" t="s">
        <v>15</v>
      </c>
      <c r="B315" t="s">
        <v>15</v>
      </c>
      <c r="C315" t="s">
        <v>28</v>
      </c>
      <c r="D315" t="s">
        <v>320</v>
      </c>
      <c r="E315" s="1">
        <v>3721296.9</v>
      </c>
      <c r="F315" s="1">
        <v>3721296.9</v>
      </c>
      <c r="G315" s="1">
        <v>3721296.9</v>
      </c>
    </row>
    <row r="316" spans="1:7" x14ac:dyDescent="0.3">
      <c r="A316" t="s">
        <v>15</v>
      </c>
      <c r="B316" t="s">
        <v>15</v>
      </c>
      <c r="C316" t="s">
        <v>19</v>
      </c>
      <c r="D316" t="s">
        <v>70</v>
      </c>
      <c r="E316" s="1">
        <v>8359955.4400000004</v>
      </c>
      <c r="F316" s="1">
        <v>8359955.4400000004</v>
      </c>
      <c r="G316" s="1">
        <v>8359955.4400000004</v>
      </c>
    </row>
    <row r="317" spans="1:7" x14ac:dyDescent="0.3">
      <c r="A317" t="s">
        <v>15</v>
      </c>
      <c r="B317" t="s">
        <v>15</v>
      </c>
      <c r="C317" t="s">
        <v>19</v>
      </c>
      <c r="D317" t="s">
        <v>321</v>
      </c>
      <c r="E317" s="1">
        <v>8095908.7000000002</v>
      </c>
      <c r="F317" s="1">
        <v>8095908.7000000002</v>
      </c>
      <c r="G317" s="1">
        <v>8095908.7000000002</v>
      </c>
    </row>
    <row r="318" spans="1:7" x14ac:dyDescent="0.3">
      <c r="A318" t="s">
        <v>15</v>
      </c>
      <c r="B318" t="s">
        <v>15</v>
      </c>
      <c r="C318" t="s">
        <v>19</v>
      </c>
      <c r="D318" t="s">
        <v>311</v>
      </c>
      <c r="E318" s="1">
        <v>3615023.27</v>
      </c>
      <c r="F318" s="1">
        <v>3615023.27</v>
      </c>
      <c r="G318" s="1">
        <v>3615023.27</v>
      </c>
    </row>
    <row r="319" spans="1:7" x14ac:dyDescent="0.3">
      <c r="A319" t="s">
        <v>15</v>
      </c>
      <c r="B319" t="s">
        <v>15</v>
      </c>
      <c r="C319" t="s">
        <v>19</v>
      </c>
      <c r="D319" t="s">
        <v>322</v>
      </c>
      <c r="E319" s="1">
        <v>151746.64000000001</v>
      </c>
      <c r="F319" s="1">
        <v>151746.64000000001</v>
      </c>
      <c r="G319" s="1">
        <v>151746.64000000001</v>
      </c>
    </row>
    <row r="320" spans="1:7" x14ac:dyDescent="0.3">
      <c r="A320" t="s">
        <v>15</v>
      </c>
      <c r="B320" t="s">
        <v>15</v>
      </c>
      <c r="C320" t="s">
        <v>23</v>
      </c>
      <c r="D320" t="s">
        <v>308</v>
      </c>
      <c r="E320" s="1">
        <v>11986558.1</v>
      </c>
      <c r="F320" s="1">
        <v>11986558.1</v>
      </c>
      <c r="G320" s="1">
        <v>11986558.1</v>
      </c>
    </row>
    <row r="321" spans="1:7" x14ac:dyDescent="0.3">
      <c r="A321" t="s">
        <v>15</v>
      </c>
      <c r="B321" t="s">
        <v>15</v>
      </c>
      <c r="C321" t="s">
        <v>23</v>
      </c>
      <c r="D321" t="s">
        <v>323</v>
      </c>
      <c r="E321" s="1">
        <v>3129516</v>
      </c>
      <c r="F321" s="1">
        <v>3129516</v>
      </c>
      <c r="G321" s="1">
        <v>3129516</v>
      </c>
    </row>
    <row r="322" spans="1:7" x14ac:dyDescent="0.3">
      <c r="A322" t="s">
        <v>15</v>
      </c>
      <c r="B322" t="s">
        <v>15</v>
      </c>
      <c r="C322" t="s">
        <v>23</v>
      </c>
      <c r="D322" t="s">
        <v>324</v>
      </c>
      <c r="E322" s="1">
        <v>3014799</v>
      </c>
      <c r="F322" s="1">
        <v>3014799</v>
      </c>
      <c r="G322" s="1">
        <v>3014799</v>
      </c>
    </row>
    <row r="323" spans="1:7" x14ac:dyDescent="0.3">
      <c r="A323" t="s">
        <v>15</v>
      </c>
      <c r="B323" t="s">
        <v>15</v>
      </c>
      <c r="C323" t="s">
        <v>7</v>
      </c>
      <c r="D323" t="s">
        <v>325</v>
      </c>
      <c r="E323" s="1">
        <v>8654454.2699999996</v>
      </c>
      <c r="F323" s="1">
        <v>8654454.2699999996</v>
      </c>
      <c r="G323" s="1">
        <v>8654454.2699999996</v>
      </c>
    </row>
    <row r="324" spans="1:7" x14ac:dyDescent="0.3">
      <c r="A324" t="s">
        <v>15</v>
      </c>
      <c r="B324" t="s">
        <v>15</v>
      </c>
      <c r="C324" t="s">
        <v>7</v>
      </c>
      <c r="D324" t="s">
        <v>312</v>
      </c>
      <c r="E324" s="1">
        <v>6489289.9100000001</v>
      </c>
      <c r="F324" s="1">
        <v>6489289.9100000001</v>
      </c>
      <c r="G324" s="1">
        <v>6489289.9100000001</v>
      </c>
    </row>
    <row r="325" spans="1:7" x14ac:dyDescent="0.3">
      <c r="A325" t="s">
        <v>15</v>
      </c>
      <c r="B325" t="s">
        <v>15</v>
      </c>
      <c r="C325" t="s">
        <v>18</v>
      </c>
      <c r="D325" t="s">
        <v>326</v>
      </c>
      <c r="E325" s="1">
        <v>9832432.5</v>
      </c>
      <c r="F325" s="1">
        <v>9832432.5</v>
      </c>
      <c r="G325" s="1">
        <v>9832432.5</v>
      </c>
    </row>
    <row r="326" spans="1:7" x14ac:dyDescent="0.3">
      <c r="A326" t="s">
        <v>15</v>
      </c>
      <c r="B326" t="s">
        <v>15</v>
      </c>
      <c r="C326" t="s">
        <v>18</v>
      </c>
      <c r="D326" t="s">
        <v>327</v>
      </c>
      <c r="E326" s="1">
        <v>2450250</v>
      </c>
      <c r="F326" s="1">
        <v>2450250</v>
      </c>
      <c r="G326" s="1">
        <v>2450250</v>
      </c>
    </row>
    <row r="327" spans="1:7" x14ac:dyDescent="0.3">
      <c r="A327" t="s">
        <v>15</v>
      </c>
      <c r="B327" t="s">
        <v>15</v>
      </c>
      <c r="C327" t="s">
        <v>18</v>
      </c>
      <c r="D327" t="s">
        <v>302</v>
      </c>
      <c r="E327" s="1">
        <v>959018.1</v>
      </c>
      <c r="F327" s="1">
        <v>959018.1</v>
      </c>
      <c r="G327" s="1">
        <v>959018.1</v>
      </c>
    </row>
    <row r="328" spans="1:7" x14ac:dyDescent="0.3">
      <c r="A328" t="s">
        <v>15</v>
      </c>
      <c r="B328" t="s">
        <v>15</v>
      </c>
      <c r="C328" t="s">
        <v>18</v>
      </c>
      <c r="D328" t="s">
        <v>315</v>
      </c>
      <c r="E328" s="1">
        <v>877229.92</v>
      </c>
      <c r="F328" s="1">
        <v>877229.92</v>
      </c>
      <c r="G328" s="1">
        <v>877229.92</v>
      </c>
    </row>
    <row r="329" spans="1:7" x14ac:dyDescent="0.3">
      <c r="A329" t="s">
        <v>15</v>
      </c>
      <c r="B329" t="s">
        <v>15</v>
      </c>
      <c r="C329" t="s">
        <v>18</v>
      </c>
      <c r="D329" t="s">
        <v>328</v>
      </c>
      <c r="E329" s="1">
        <v>173558.5</v>
      </c>
      <c r="F329" s="1">
        <v>173558.5</v>
      </c>
      <c r="G329" s="1">
        <v>173558.5</v>
      </c>
    </row>
    <row r="330" spans="1:7" x14ac:dyDescent="0.3">
      <c r="A330" t="s">
        <v>15</v>
      </c>
      <c r="B330" t="s">
        <v>15</v>
      </c>
      <c r="C330" t="s">
        <v>18</v>
      </c>
      <c r="D330" t="s">
        <v>329</v>
      </c>
      <c r="E330" s="1">
        <v>27952</v>
      </c>
      <c r="F330" s="1">
        <v>27952</v>
      </c>
      <c r="G330" s="1">
        <v>27952</v>
      </c>
    </row>
    <row r="331" spans="1:7" x14ac:dyDescent="0.3">
      <c r="A331" t="s">
        <v>15</v>
      </c>
      <c r="B331" t="s">
        <v>15</v>
      </c>
      <c r="C331" t="s">
        <v>18</v>
      </c>
      <c r="D331" t="s">
        <v>330</v>
      </c>
      <c r="E331" s="1">
        <v>39373</v>
      </c>
      <c r="F331" s="1">
        <v>39373</v>
      </c>
      <c r="G331" s="1">
        <v>39373</v>
      </c>
    </row>
    <row r="332" spans="1:7" x14ac:dyDescent="0.3">
      <c r="A332" t="s">
        <v>15</v>
      </c>
      <c r="B332" t="s">
        <v>15</v>
      </c>
      <c r="C332" t="s">
        <v>33</v>
      </c>
      <c r="D332" t="s">
        <v>331</v>
      </c>
      <c r="E332" s="1">
        <v>7988235</v>
      </c>
      <c r="F332" s="1">
        <v>7988235</v>
      </c>
      <c r="G332" s="1">
        <v>7988235</v>
      </c>
    </row>
    <row r="333" spans="1:7" x14ac:dyDescent="0.3">
      <c r="A333" t="s">
        <v>15</v>
      </c>
      <c r="B333" t="s">
        <v>15</v>
      </c>
      <c r="C333" t="s">
        <v>33</v>
      </c>
      <c r="D333" t="s">
        <v>308</v>
      </c>
      <c r="E333" s="1">
        <v>4773126</v>
      </c>
      <c r="F333" s="1">
        <v>4773126</v>
      </c>
      <c r="G333" s="1">
        <v>4773126</v>
      </c>
    </row>
    <row r="334" spans="1:7" x14ac:dyDescent="0.3">
      <c r="A334" t="s">
        <v>15</v>
      </c>
      <c r="B334" t="s">
        <v>15</v>
      </c>
      <c r="C334" t="s">
        <v>9</v>
      </c>
      <c r="D334" t="s">
        <v>332</v>
      </c>
      <c r="E334" s="1">
        <v>3503000</v>
      </c>
      <c r="F334" s="1">
        <v>3503000</v>
      </c>
      <c r="G334" s="1">
        <v>3503000</v>
      </c>
    </row>
    <row r="335" spans="1:7" x14ac:dyDescent="0.3">
      <c r="A335" t="s">
        <v>15</v>
      </c>
      <c r="B335" t="s">
        <v>15</v>
      </c>
      <c r="C335" t="s">
        <v>9</v>
      </c>
      <c r="D335" t="s">
        <v>333</v>
      </c>
      <c r="E335" s="1">
        <v>2520340</v>
      </c>
      <c r="F335" s="1">
        <v>2520340</v>
      </c>
      <c r="G335" s="1">
        <v>2520340</v>
      </c>
    </row>
    <row r="336" spans="1:7" x14ac:dyDescent="0.3">
      <c r="A336" t="s">
        <v>15</v>
      </c>
      <c r="B336" t="s">
        <v>15</v>
      </c>
      <c r="C336" t="s">
        <v>9</v>
      </c>
      <c r="D336" t="s">
        <v>311</v>
      </c>
      <c r="E336" s="1">
        <v>1265900</v>
      </c>
      <c r="F336" s="1">
        <v>1265900</v>
      </c>
      <c r="G336" s="1">
        <v>1265900</v>
      </c>
    </row>
    <row r="337" spans="1:7" x14ac:dyDescent="0.3">
      <c r="A337" t="s">
        <v>15</v>
      </c>
      <c r="B337" t="s">
        <v>15</v>
      </c>
      <c r="C337" t="s">
        <v>9</v>
      </c>
      <c r="D337" t="s">
        <v>315</v>
      </c>
      <c r="E337" s="1">
        <v>76800</v>
      </c>
      <c r="F337" s="1">
        <v>76800</v>
      </c>
      <c r="G337" s="1">
        <v>76800</v>
      </c>
    </row>
    <row r="338" spans="1:7" x14ac:dyDescent="0.3">
      <c r="A338" t="s">
        <v>15</v>
      </c>
      <c r="B338" t="s">
        <v>15</v>
      </c>
      <c r="C338" t="s">
        <v>17</v>
      </c>
      <c r="D338" t="s">
        <v>312</v>
      </c>
      <c r="E338" s="1">
        <v>6582641.5999999996</v>
      </c>
      <c r="F338" s="1">
        <v>6582641.5999999996</v>
      </c>
      <c r="G338" s="1">
        <v>6582641.5999999996</v>
      </c>
    </row>
    <row r="339" spans="1:7" x14ac:dyDescent="0.3">
      <c r="A339" t="s">
        <v>15</v>
      </c>
      <c r="B339" t="s">
        <v>15</v>
      </c>
      <c r="C339" t="s">
        <v>36</v>
      </c>
      <c r="D339" t="s">
        <v>315</v>
      </c>
      <c r="E339" s="1">
        <v>5242247.62</v>
      </c>
      <c r="F339" s="1">
        <v>5242247.62</v>
      </c>
      <c r="G339" s="1">
        <v>5242247.62</v>
      </c>
    </row>
    <row r="340" spans="1:7" x14ac:dyDescent="0.3">
      <c r="A340" t="s">
        <v>15</v>
      </c>
      <c r="B340" t="s">
        <v>15</v>
      </c>
      <c r="C340" t="s">
        <v>36</v>
      </c>
      <c r="D340" t="s">
        <v>302</v>
      </c>
      <c r="E340" s="1">
        <v>916901.7</v>
      </c>
      <c r="F340" s="1">
        <v>916901.7</v>
      </c>
      <c r="G340" s="1">
        <v>916901.7</v>
      </c>
    </row>
    <row r="341" spans="1:7" x14ac:dyDescent="0.3">
      <c r="A341" t="s">
        <v>15</v>
      </c>
      <c r="B341" t="s">
        <v>15</v>
      </c>
      <c r="C341" t="s">
        <v>36</v>
      </c>
      <c r="D341" t="s">
        <v>312</v>
      </c>
      <c r="E341" s="1">
        <v>165297.60000000001</v>
      </c>
      <c r="F341" s="1">
        <v>165297.60000000001</v>
      </c>
      <c r="G341" s="1">
        <v>165297.60000000001</v>
      </c>
    </row>
    <row r="342" spans="1:7" x14ac:dyDescent="0.3">
      <c r="A342" t="s">
        <v>15</v>
      </c>
      <c r="B342" t="s">
        <v>15</v>
      </c>
      <c r="C342" t="s">
        <v>36</v>
      </c>
      <c r="D342" t="s">
        <v>308</v>
      </c>
      <c r="E342" s="1">
        <v>82153.8</v>
      </c>
      <c r="F342" s="1">
        <v>82153.8</v>
      </c>
      <c r="G342" s="1">
        <v>82153.8</v>
      </c>
    </row>
    <row r="343" spans="1:7" x14ac:dyDescent="0.3">
      <c r="A343" t="s">
        <v>15</v>
      </c>
      <c r="B343" t="s">
        <v>15</v>
      </c>
      <c r="C343" t="s">
        <v>36</v>
      </c>
      <c r="D343" t="s">
        <v>309</v>
      </c>
      <c r="E343" s="1">
        <v>38148.720000000001</v>
      </c>
      <c r="F343" s="1">
        <v>38148.720000000001</v>
      </c>
      <c r="G343" s="1">
        <v>38148.720000000001</v>
      </c>
    </row>
    <row r="344" spans="1:7" x14ac:dyDescent="0.3">
      <c r="A344" t="s">
        <v>15</v>
      </c>
      <c r="B344" t="s">
        <v>15</v>
      </c>
      <c r="C344" t="s">
        <v>36</v>
      </c>
      <c r="D344" t="s">
        <v>291</v>
      </c>
      <c r="E344" s="1">
        <v>27298.560000000001</v>
      </c>
      <c r="F344" s="1">
        <v>27298.560000000001</v>
      </c>
      <c r="G344" s="1">
        <v>27298.560000000001</v>
      </c>
    </row>
    <row r="345" spans="1:7" x14ac:dyDescent="0.3">
      <c r="A345" t="s">
        <v>15</v>
      </c>
      <c r="B345" t="s">
        <v>15</v>
      </c>
      <c r="C345" t="s">
        <v>36</v>
      </c>
      <c r="D345" t="s">
        <v>334</v>
      </c>
      <c r="E345" s="1">
        <v>5506.38</v>
      </c>
      <c r="F345" s="1">
        <v>5506.38</v>
      </c>
      <c r="G345" s="1">
        <v>5506.38</v>
      </c>
    </row>
    <row r="346" spans="1:7" x14ac:dyDescent="0.3">
      <c r="A346" t="s">
        <v>15</v>
      </c>
      <c r="B346" t="s">
        <v>15</v>
      </c>
      <c r="C346" t="s">
        <v>24</v>
      </c>
      <c r="D346" t="s">
        <v>315</v>
      </c>
      <c r="E346" s="1">
        <v>2921275.08</v>
      </c>
      <c r="F346" s="1">
        <v>2921275.08</v>
      </c>
      <c r="G346" s="1">
        <v>2921275.08</v>
      </c>
    </row>
    <row r="347" spans="1:7" x14ac:dyDescent="0.3">
      <c r="A347" t="s">
        <v>15</v>
      </c>
      <c r="B347" t="s">
        <v>15</v>
      </c>
      <c r="C347" t="s">
        <v>24</v>
      </c>
      <c r="D347" t="s">
        <v>311</v>
      </c>
      <c r="E347" s="1">
        <v>1739109.05</v>
      </c>
      <c r="F347" s="1">
        <v>1739109.05</v>
      </c>
      <c r="G347" s="1">
        <v>1739109.05</v>
      </c>
    </row>
    <row r="348" spans="1:7" x14ac:dyDescent="0.3">
      <c r="A348" t="s">
        <v>15</v>
      </c>
      <c r="B348" t="s">
        <v>15</v>
      </c>
      <c r="C348" t="s">
        <v>24</v>
      </c>
      <c r="D348" t="s">
        <v>335</v>
      </c>
      <c r="E348" s="1">
        <v>957131.65</v>
      </c>
      <c r="F348" s="1">
        <v>957131.65</v>
      </c>
      <c r="G348" s="1">
        <v>957131.65</v>
      </c>
    </row>
    <row r="349" spans="1:7" x14ac:dyDescent="0.3">
      <c r="A349" t="s">
        <v>15</v>
      </c>
      <c r="B349" t="s">
        <v>15</v>
      </c>
      <c r="C349" t="s">
        <v>24</v>
      </c>
      <c r="D349" t="s">
        <v>331</v>
      </c>
      <c r="E349" s="1">
        <v>480732.26</v>
      </c>
      <c r="F349" s="1">
        <v>480732.26</v>
      </c>
      <c r="G349" s="1">
        <v>480732.26</v>
      </c>
    </row>
    <row r="350" spans="1:7" x14ac:dyDescent="0.3">
      <c r="A350" t="s">
        <v>15</v>
      </c>
      <c r="B350" t="s">
        <v>15</v>
      </c>
      <c r="C350" t="s">
        <v>24</v>
      </c>
      <c r="D350" t="s">
        <v>336</v>
      </c>
      <c r="E350" s="1">
        <v>359143.2</v>
      </c>
      <c r="F350" s="1">
        <v>359143.2</v>
      </c>
      <c r="G350" s="1">
        <v>359143.2</v>
      </c>
    </row>
    <row r="351" spans="1:7" x14ac:dyDescent="0.3">
      <c r="A351" t="s">
        <v>15</v>
      </c>
      <c r="B351" t="s">
        <v>15</v>
      </c>
      <c r="C351" t="s">
        <v>27</v>
      </c>
      <c r="D351" t="s">
        <v>301</v>
      </c>
      <c r="E351" s="1">
        <v>3380036.34</v>
      </c>
      <c r="F351" s="1">
        <v>3380036.34</v>
      </c>
      <c r="G351" s="1">
        <v>3380036.34</v>
      </c>
    </row>
    <row r="352" spans="1:7" x14ac:dyDescent="0.3">
      <c r="A352" t="s">
        <v>15</v>
      </c>
      <c r="B352" t="s">
        <v>15</v>
      </c>
      <c r="C352" t="s">
        <v>27</v>
      </c>
      <c r="D352" t="s">
        <v>311</v>
      </c>
      <c r="E352" s="1">
        <v>1439749.08</v>
      </c>
      <c r="F352" s="1">
        <v>1439749.08</v>
      </c>
      <c r="G352" s="1">
        <v>1439749.08</v>
      </c>
    </row>
    <row r="353" spans="1:7" x14ac:dyDescent="0.3">
      <c r="A353" t="s">
        <v>15</v>
      </c>
      <c r="B353" t="s">
        <v>15</v>
      </c>
      <c r="C353" t="s">
        <v>27</v>
      </c>
      <c r="D353" t="s">
        <v>294</v>
      </c>
      <c r="E353" s="1">
        <v>359553.86</v>
      </c>
      <c r="F353" s="1">
        <v>359553.86</v>
      </c>
      <c r="G353" s="1">
        <v>359553.86</v>
      </c>
    </row>
    <row r="354" spans="1:7" x14ac:dyDescent="0.3">
      <c r="A354" t="s">
        <v>15</v>
      </c>
      <c r="B354" t="s">
        <v>15</v>
      </c>
      <c r="C354" t="s">
        <v>30</v>
      </c>
      <c r="D354" t="s">
        <v>66</v>
      </c>
      <c r="E354" s="1">
        <v>2366826</v>
      </c>
      <c r="F354" s="1">
        <v>2366826</v>
      </c>
      <c r="G354" s="1">
        <v>2366826</v>
      </c>
    </row>
    <row r="355" spans="1:7" x14ac:dyDescent="0.3">
      <c r="A355" t="s">
        <v>15</v>
      </c>
      <c r="B355" t="s">
        <v>15</v>
      </c>
      <c r="C355" t="s">
        <v>30</v>
      </c>
      <c r="D355" t="s">
        <v>337</v>
      </c>
      <c r="E355" s="1">
        <v>1941202</v>
      </c>
      <c r="F355" s="1">
        <v>1941202</v>
      </c>
      <c r="G355" s="1">
        <v>1941202</v>
      </c>
    </row>
    <row r="356" spans="1:7" x14ac:dyDescent="0.3">
      <c r="A356" t="s">
        <v>15</v>
      </c>
      <c r="B356" t="s">
        <v>15</v>
      </c>
      <c r="C356" t="s">
        <v>30</v>
      </c>
      <c r="D356" t="s">
        <v>338</v>
      </c>
      <c r="E356" s="1">
        <v>166470</v>
      </c>
      <c r="F356" s="1">
        <v>166470</v>
      </c>
      <c r="G356" s="1">
        <v>166470</v>
      </c>
    </row>
    <row r="357" spans="1:7" x14ac:dyDescent="0.3">
      <c r="A357" t="s">
        <v>15</v>
      </c>
      <c r="B357" t="s">
        <v>15</v>
      </c>
      <c r="C357" t="s">
        <v>30</v>
      </c>
      <c r="D357" t="s">
        <v>339</v>
      </c>
      <c r="E357" s="1">
        <v>50620</v>
      </c>
      <c r="F357" s="1">
        <v>50620</v>
      </c>
      <c r="G357" s="1">
        <v>50620</v>
      </c>
    </row>
    <row r="358" spans="1:7" x14ac:dyDescent="0.3">
      <c r="A358" t="s">
        <v>15</v>
      </c>
      <c r="B358" t="s">
        <v>15</v>
      </c>
      <c r="C358" t="s">
        <v>30</v>
      </c>
      <c r="D358" t="s">
        <v>340</v>
      </c>
      <c r="E358" s="1">
        <v>45000</v>
      </c>
      <c r="F358" s="1">
        <v>45000</v>
      </c>
      <c r="G358" s="1">
        <v>45000</v>
      </c>
    </row>
    <row r="359" spans="1:7" x14ac:dyDescent="0.3">
      <c r="A359" t="s">
        <v>15</v>
      </c>
      <c r="B359" t="s">
        <v>15</v>
      </c>
      <c r="C359" t="s">
        <v>30</v>
      </c>
      <c r="D359" t="s">
        <v>341</v>
      </c>
      <c r="E359" s="1">
        <v>8928</v>
      </c>
      <c r="F359" s="1">
        <v>8928</v>
      </c>
      <c r="G359" s="1">
        <v>8928</v>
      </c>
    </row>
    <row r="360" spans="1:7" x14ac:dyDescent="0.3">
      <c r="A360" t="s">
        <v>15</v>
      </c>
      <c r="B360" t="s">
        <v>15</v>
      </c>
      <c r="C360" t="s">
        <v>30</v>
      </c>
      <c r="D360" t="s">
        <v>342</v>
      </c>
      <c r="E360" s="1">
        <v>4000</v>
      </c>
      <c r="F360" s="1">
        <v>4000</v>
      </c>
      <c r="G360" s="1">
        <v>4000</v>
      </c>
    </row>
    <row r="361" spans="1:7" x14ac:dyDescent="0.3">
      <c r="A361" t="s">
        <v>15</v>
      </c>
      <c r="B361" t="s">
        <v>15</v>
      </c>
      <c r="C361" t="s">
        <v>8</v>
      </c>
      <c r="D361" t="s">
        <v>343</v>
      </c>
      <c r="E361" s="1">
        <v>783750</v>
      </c>
      <c r="F361" s="1">
        <v>783750</v>
      </c>
      <c r="G361" s="1">
        <v>783750</v>
      </c>
    </row>
    <row r="362" spans="1:7" x14ac:dyDescent="0.3">
      <c r="A362" t="s">
        <v>15</v>
      </c>
      <c r="B362" t="s">
        <v>15</v>
      </c>
      <c r="C362" t="s">
        <v>8</v>
      </c>
      <c r="D362" t="s">
        <v>16</v>
      </c>
      <c r="E362" s="1">
        <v>26400</v>
      </c>
      <c r="F362" s="1">
        <v>26400</v>
      </c>
      <c r="G362" s="1">
        <v>26400</v>
      </c>
    </row>
    <row r="363" spans="1:7" x14ac:dyDescent="0.3">
      <c r="A363" t="s">
        <v>15</v>
      </c>
      <c r="B363" t="s">
        <v>15</v>
      </c>
      <c r="C363" t="s">
        <v>57</v>
      </c>
      <c r="D363" t="s">
        <v>344</v>
      </c>
      <c r="E363" s="1">
        <v>445751.4</v>
      </c>
      <c r="F363" s="1">
        <v>445751.4</v>
      </c>
      <c r="G363" s="1">
        <v>445751.4</v>
      </c>
    </row>
    <row r="364" spans="1:7" x14ac:dyDescent="0.3">
      <c r="A364" t="s">
        <v>15</v>
      </c>
      <c r="B364" t="s">
        <v>15</v>
      </c>
      <c r="C364" t="s">
        <v>25</v>
      </c>
      <c r="D364" t="s">
        <v>291</v>
      </c>
      <c r="E364" s="1">
        <v>235524.3</v>
      </c>
      <c r="F364" s="1">
        <v>235524.3</v>
      </c>
      <c r="G364" s="1">
        <v>235524.3</v>
      </c>
    </row>
    <row r="365" spans="1:7" x14ac:dyDescent="0.3">
      <c r="A365" t="s">
        <v>15</v>
      </c>
      <c r="B365" t="s">
        <v>15</v>
      </c>
      <c r="C365" t="s">
        <v>25</v>
      </c>
      <c r="D365" t="s">
        <v>345</v>
      </c>
      <c r="E365" s="1">
        <v>181050.92</v>
      </c>
      <c r="F365" s="1">
        <v>181050.92</v>
      </c>
      <c r="G365" s="1">
        <v>181050.92</v>
      </c>
    </row>
    <row r="366" spans="1:7" x14ac:dyDescent="0.3">
      <c r="A366" t="s">
        <v>15</v>
      </c>
      <c r="B366" t="s">
        <v>15</v>
      </c>
      <c r="C366" t="s">
        <v>13</v>
      </c>
      <c r="D366" t="s">
        <v>346</v>
      </c>
      <c r="E366" s="1">
        <v>370362.97</v>
      </c>
      <c r="F366" s="1">
        <v>370362.97</v>
      </c>
      <c r="G366" s="1">
        <v>370362.97</v>
      </c>
    </row>
    <row r="367" spans="1:7" x14ac:dyDescent="0.3">
      <c r="A367" t="s">
        <v>15</v>
      </c>
      <c r="B367" t="s">
        <v>15</v>
      </c>
      <c r="C367" t="s">
        <v>13</v>
      </c>
      <c r="D367" t="s">
        <v>347</v>
      </c>
      <c r="E367" s="1">
        <v>24220</v>
      </c>
      <c r="F367" s="1">
        <v>24220</v>
      </c>
      <c r="G367" s="1">
        <v>24220</v>
      </c>
    </row>
    <row r="368" spans="1:7" x14ac:dyDescent="0.3">
      <c r="A368" t="s">
        <v>15</v>
      </c>
      <c r="B368" t="s">
        <v>15</v>
      </c>
      <c r="C368" t="s">
        <v>13</v>
      </c>
      <c r="D368" t="s">
        <v>348</v>
      </c>
      <c r="E368" s="1">
        <v>6134.75</v>
      </c>
      <c r="F368" s="1">
        <v>6134.75</v>
      </c>
      <c r="G368" s="1">
        <v>6134.75</v>
      </c>
    </row>
    <row r="369" spans="1:7" x14ac:dyDescent="0.3">
      <c r="A369" t="s">
        <v>15</v>
      </c>
      <c r="B369" t="s">
        <v>15</v>
      </c>
      <c r="C369" t="s">
        <v>13</v>
      </c>
      <c r="D369" t="s">
        <v>349</v>
      </c>
      <c r="E369" s="1">
        <v>880</v>
      </c>
      <c r="F369" s="1">
        <v>880</v>
      </c>
      <c r="G369" s="1">
        <v>880</v>
      </c>
    </row>
    <row r="370" spans="1:7" x14ac:dyDescent="0.3">
      <c r="A370" t="s">
        <v>15</v>
      </c>
      <c r="B370" t="s">
        <v>15</v>
      </c>
      <c r="C370" t="s">
        <v>20</v>
      </c>
      <c r="D370" t="s">
        <v>350</v>
      </c>
      <c r="E370" s="1">
        <v>132935.31</v>
      </c>
      <c r="F370" s="1">
        <v>132935.31</v>
      </c>
      <c r="G370" s="1">
        <v>132935.31</v>
      </c>
    </row>
    <row r="371" spans="1:7" x14ac:dyDescent="0.3">
      <c r="A371" t="s">
        <v>15</v>
      </c>
      <c r="B371" t="s">
        <v>15</v>
      </c>
      <c r="C371" t="s">
        <v>20</v>
      </c>
      <c r="D371" t="s">
        <v>351</v>
      </c>
      <c r="E371" s="1">
        <v>46284</v>
      </c>
      <c r="F371" s="1">
        <v>46284</v>
      </c>
      <c r="G371" s="1">
        <v>46284</v>
      </c>
    </row>
    <row r="372" spans="1:7" x14ac:dyDescent="0.3">
      <c r="A372" t="s">
        <v>352</v>
      </c>
      <c r="B372" t="s">
        <v>352</v>
      </c>
      <c r="C372" t="s">
        <v>27</v>
      </c>
      <c r="D372" t="s">
        <v>353</v>
      </c>
      <c r="E372" s="1">
        <v>30721031.329999998</v>
      </c>
      <c r="F372" s="1">
        <v>30721031.329999998</v>
      </c>
      <c r="G372" s="1">
        <v>30721031.329999998</v>
      </c>
    </row>
    <row r="373" spans="1:7" x14ac:dyDescent="0.3">
      <c r="A373" t="s">
        <v>352</v>
      </c>
      <c r="B373" t="s">
        <v>352</v>
      </c>
      <c r="C373" t="s">
        <v>21</v>
      </c>
      <c r="D373" t="s">
        <v>354</v>
      </c>
      <c r="E373" s="1">
        <v>1610229.09</v>
      </c>
      <c r="F373" s="1">
        <v>1610229.09</v>
      </c>
      <c r="G373" s="1">
        <v>1610229.09</v>
      </c>
    </row>
    <row r="374" spans="1:7" x14ac:dyDescent="0.3">
      <c r="A374" t="s">
        <v>352</v>
      </c>
      <c r="B374" t="s">
        <v>352</v>
      </c>
      <c r="C374" t="s">
        <v>21</v>
      </c>
      <c r="D374" t="s">
        <v>355</v>
      </c>
      <c r="E374" s="1">
        <v>1388292.8</v>
      </c>
      <c r="F374" s="1">
        <v>1388292.8</v>
      </c>
      <c r="G374" s="1">
        <v>1388292.8</v>
      </c>
    </row>
    <row r="375" spans="1:7" x14ac:dyDescent="0.3">
      <c r="A375" t="s">
        <v>352</v>
      </c>
      <c r="B375" t="s">
        <v>352</v>
      </c>
      <c r="C375" t="s">
        <v>21</v>
      </c>
      <c r="D375" t="s">
        <v>356</v>
      </c>
      <c r="E375" s="1">
        <v>9905825</v>
      </c>
      <c r="F375" s="1">
        <v>9905825</v>
      </c>
      <c r="G375" s="1">
        <v>9905825</v>
      </c>
    </row>
    <row r="376" spans="1:7" x14ac:dyDescent="0.3">
      <c r="A376" t="s">
        <v>352</v>
      </c>
      <c r="B376" t="s">
        <v>352</v>
      </c>
      <c r="C376" t="s">
        <v>21</v>
      </c>
      <c r="D376" t="s">
        <v>357</v>
      </c>
      <c r="E376" s="1">
        <v>5338231.2</v>
      </c>
      <c r="F376" s="1">
        <v>5338231.2</v>
      </c>
      <c r="G376" s="1">
        <v>5338231.2</v>
      </c>
    </row>
    <row r="377" spans="1:7" x14ac:dyDescent="0.3">
      <c r="A377" t="s">
        <v>352</v>
      </c>
      <c r="B377" t="s">
        <v>352</v>
      </c>
      <c r="C377" t="s">
        <v>21</v>
      </c>
      <c r="D377" t="s">
        <v>358</v>
      </c>
      <c r="E377" s="1">
        <v>2120248.5099999998</v>
      </c>
      <c r="F377" s="1">
        <v>2120248.5099999998</v>
      </c>
      <c r="G377" s="1">
        <v>2120248.5099999998</v>
      </c>
    </row>
    <row r="378" spans="1:7" x14ac:dyDescent="0.3">
      <c r="A378" t="s">
        <v>352</v>
      </c>
      <c r="B378" t="s">
        <v>352</v>
      </c>
      <c r="C378" t="s">
        <v>30</v>
      </c>
      <c r="D378" t="s">
        <v>359</v>
      </c>
      <c r="E378" s="1">
        <v>2094500</v>
      </c>
      <c r="F378" s="1">
        <v>2094500</v>
      </c>
      <c r="G378" s="1">
        <v>2094500</v>
      </c>
    </row>
    <row r="379" spans="1:7" x14ac:dyDescent="0.3">
      <c r="A379" t="s">
        <v>352</v>
      </c>
      <c r="B379" t="s">
        <v>352</v>
      </c>
      <c r="C379" t="s">
        <v>30</v>
      </c>
      <c r="D379" t="s">
        <v>360</v>
      </c>
      <c r="E379" s="1">
        <v>1482412</v>
      </c>
      <c r="F379" s="1">
        <v>1482412</v>
      </c>
      <c r="G379" s="1">
        <v>1482412</v>
      </c>
    </row>
    <row r="380" spans="1:7" x14ac:dyDescent="0.3">
      <c r="A380" t="s">
        <v>352</v>
      </c>
      <c r="B380" t="s">
        <v>352</v>
      </c>
      <c r="C380" t="s">
        <v>25</v>
      </c>
      <c r="D380" t="s">
        <v>356</v>
      </c>
      <c r="E380" s="1">
        <v>2070561.07</v>
      </c>
      <c r="F380" s="1">
        <v>2070561.07</v>
      </c>
      <c r="G380" s="1">
        <v>2070561.07</v>
      </c>
    </row>
    <row r="381" spans="1:7" x14ac:dyDescent="0.3">
      <c r="A381" t="s">
        <v>364</v>
      </c>
      <c r="B381" t="s">
        <v>364</v>
      </c>
      <c r="C381" t="s">
        <v>21</v>
      </c>
      <c r="D381" t="s">
        <v>365</v>
      </c>
      <c r="E381" s="1">
        <v>35683716.280000001</v>
      </c>
      <c r="F381" s="1">
        <v>35683716.280000001</v>
      </c>
      <c r="G381" s="1">
        <v>35683716.280000001</v>
      </c>
    </row>
    <row r="382" spans="1:7" x14ac:dyDescent="0.3">
      <c r="A382" t="s">
        <v>364</v>
      </c>
      <c r="B382" t="s">
        <v>364</v>
      </c>
      <c r="C382" t="s">
        <v>21</v>
      </c>
      <c r="D382" t="s">
        <v>366</v>
      </c>
      <c r="E382" s="1">
        <v>5865740.9699999997</v>
      </c>
      <c r="F382" s="1">
        <v>5865740.9699999997</v>
      </c>
      <c r="G382" s="1">
        <v>5865740.9699999997</v>
      </c>
    </row>
    <row r="383" spans="1:7" x14ac:dyDescent="0.3">
      <c r="A383" t="s">
        <v>364</v>
      </c>
      <c r="B383" t="s">
        <v>364</v>
      </c>
      <c r="C383" t="s">
        <v>21</v>
      </c>
      <c r="D383" t="s">
        <v>367</v>
      </c>
      <c r="E383" s="1">
        <v>2326914.9500000002</v>
      </c>
      <c r="F383" s="1">
        <v>2326914.9500000002</v>
      </c>
      <c r="G383" s="1">
        <v>2326914.9500000002</v>
      </c>
    </row>
    <row r="384" spans="1:7" x14ac:dyDescent="0.3">
      <c r="A384" t="s">
        <v>364</v>
      </c>
      <c r="B384" t="s">
        <v>364</v>
      </c>
      <c r="C384" t="s">
        <v>21</v>
      </c>
      <c r="D384" t="s">
        <v>368</v>
      </c>
      <c r="E384" s="1">
        <v>1941097.54</v>
      </c>
      <c r="F384" s="1">
        <v>1941097.54</v>
      </c>
      <c r="G384" s="1">
        <v>1941097.54</v>
      </c>
    </row>
    <row r="385" spans="1:7" x14ac:dyDescent="0.3">
      <c r="A385" t="s">
        <v>364</v>
      </c>
      <c r="B385" t="s">
        <v>364</v>
      </c>
      <c r="C385" t="s">
        <v>21</v>
      </c>
      <c r="D385" t="s">
        <v>369</v>
      </c>
      <c r="E385" s="1">
        <v>1409174.48</v>
      </c>
      <c r="F385" s="1">
        <v>1409174.48</v>
      </c>
      <c r="G385" s="1">
        <v>1409174.48</v>
      </c>
    </row>
    <row r="386" spans="1:7" x14ac:dyDescent="0.3">
      <c r="A386" t="s">
        <v>364</v>
      </c>
      <c r="B386" t="s">
        <v>364</v>
      </c>
      <c r="C386" t="s">
        <v>21</v>
      </c>
      <c r="D386" t="s">
        <v>370</v>
      </c>
      <c r="E386" s="1">
        <v>1333600.3400000001</v>
      </c>
      <c r="F386" s="1">
        <v>1333600.3400000001</v>
      </c>
      <c r="G386" s="1">
        <v>1333600.3400000001</v>
      </c>
    </row>
    <row r="387" spans="1:7" x14ac:dyDescent="0.3">
      <c r="A387" t="s">
        <v>364</v>
      </c>
      <c r="B387" t="s">
        <v>364</v>
      </c>
      <c r="C387" t="s">
        <v>21</v>
      </c>
      <c r="D387" t="s">
        <v>371</v>
      </c>
      <c r="E387" s="1">
        <v>1323729.1599999999</v>
      </c>
      <c r="F387" s="1">
        <v>1323729.1599999999</v>
      </c>
      <c r="G387" s="1">
        <v>1323729.1599999999</v>
      </c>
    </row>
    <row r="388" spans="1:7" x14ac:dyDescent="0.3">
      <c r="A388" t="s">
        <v>364</v>
      </c>
      <c r="B388" t="s">
        <v>364</v>
      </c>
      <c r="C388" t="s">
        <v>21</v>
      </c>
      <c r="D388" t="s">
        <v>372</v>
      </c>
      <c r="E388" s="1">
        <v>1134166.47</v>
      </c>
      <c r="F388" s="1">
        <v>1134166.47</v>
      </c>
      <c r="G388" s="1">
        <v>1134166.47</v>
      </c>
    </row>
    <row r="389" spans="1:7" x14ac:dyDescent="0.3">
      <c r="A389" t="s">
        <v>364</v>
      </c>
      <c r="B389" t="s">
        <v>364</v>
      </c>
      <c r="C389" t="s">
        <v>21</v>
      </c>
      <c r="D389" t="s">
        <v>373</v>
      </c>
      <c r="E389" s="1">
        <v>950838.51</v>
      </c>
      <c r="F389" s="1">
        <v>950838.51</v>
      </c>
      <c r="G389" s="1">
        <v>950838.51</v>
      </c>
    </row>
    <row r="390" spans="1:7" x14ac:dyDescent="0.3">
      <c r="A390" t="s">
        <v>364</v>
      </c>
      <c r="B390" t="s">
        <v>364</v>
      </c>
      <c r="C390" t="s">
        <v>21</v>
      </c>
      <c r="D390" t="s">
        <v>374</v>
      </c>
      <c r="E390" s="1">
        <v>791162.58</v>
      </c>
      <c r="F390" s="1">
        <v>791162.58</v>
      </c>
      <c r="G390" s="1">
        <v>791162.58</v>
      </c>
    </row>
    <row r="391" spans="1:7" x14ac:dyDescent="0.3">
      <c r="A391" t="s">
        <v>364</v>
      </c>
      <c r="B391" t="s">
        <v>364</v>
      </c>
      <c r="C391" t="s">
        <v>21</v>
      </c>
      <c r="D391" t="s">
        <v>375</v>
      </c>
      <c r="E391" s="1">
        <v>728261.51</v>
      </c>
      <c r="F391" s="1">
        <v>728261.51</v>
      </c>
      <c r="G391" s="1">
        <v>728261.51</v>
      </c>
    </row>
    <row r="392" spans="1:7" x14ac:dyDescent="0.3">
      <c r="A392" t="s">
        <v>364</v>
      </c>
      <c r="B392" t="s">
        <v>364</v>
      </c>
      <c r="C392" t="s">
        <v>21</v>
      </c>
      <c r="D392" t="s">
        <v>376</v>
      </c>
      <c r="E392" s="1">
        <v>609594.82999999996</v>
      </c>
      <c r="F392" s="1">
        <v>609594.82999999996</v>
      </c>
      <c r="G392" s="1">
        <v>609594.82999999996</v>
      </c>
    </row>
    <row r="393" spans="1:7" x14ac:dyDescent="0.3">
      <c r="A393" t="s">
        <v>364</v>
      </c>
      <c r="B393" t="s">
        <v>364</v>
      </c>
      <c r="C393" t="s">
        <v>21</v>
      </c>
      <c r="D393" t="s">
        <v>377</v>
      </c>
      <c r="E393" s="1">
        <v>510632.59</v>
      </c>
      <c r="F393" s="1">
        <v>510632.59</v>
      </c>
      <c r="G393" s="1">
        <v>510632.59</v>
      </c>
    </row>
    <row r="394" spans="1:7" x14ac:dyDescent="0.3">
      <c r="A394" t="s">
        <v>364</v>
      </c>
      <c r="B394" t="s">
        <v>364</v>
      </c>
      <c r="C394" t="s">
        <v>21</v>
      </c>
      <c r="D394" t="s">
        <v>378</v>
      </c>
      <c r="E394" s="1">
        <v>426191.04</v>
      </c>
      <c r="F394" s="1">
        <v>426191.04</v>
      </c>
      <c r="G394" s="1">
        <v>426191.04</v>
      </c>
    </row>
    <row r="395" spans="1:7" x14ac:dyDescent="0.3">
      <c r="A395" t="s">
        <v>364</v>
      </c>
      <c r="B395" t="s">
        <v>364</v>
      </c>
      <c r="C395" t="s">
        <v>21</v>
      </c>
      <c r="D395" t="s">
        <v>379</v>
      </c>
      <c r="E395" s="1">
        <v>331091.75</v>
      </c>
      <c r="F395" s="1">
        <v>331091.75</v>
      </c>
      <c r="G395" s="1">
        <v>331091.75</v>
      </c>
    </row>
    <row r="396" spans="1:7" x14ac:dyDescent="0.3">
      <c r="A396" t="s">
        <v>364</v>
      </c>
      <c r="B396" t="s">
        <v>364</v>
      </c>
      <c r="C396" t="s">
        <v>21</v>
      </c>
      <c r="D396" t="s">
        <v>380</v>
      </c>
      <c r="E396" s="1">
        <v>209599.69</v>
      </c>
      <c r="F396" s="1">
        <v>209599.69</v>
      </c>
      <c r="G396" s="1">
        <v>209599.69</v>
      </c>
    </row>
    <row r="397" spans="1:7" x14ac:dyDescent="0.3">
      <c r="A397" t="s">
        <v>364</v>
      </c>
      <c r="B397" t="s">
        <v>364</v>
      </c>
      <c r="C397" t="s">
        <v>21</v>
      </c>
      <c r="D397" t="s">
        <v>381</v>
      </c>
      <c r="E397" s="1">
        <v>158219.53</v>
      </c>
      <c r="F397" s="1">
        <v>158219.53</v>
      </c>
      <c r="G397" s="1">
        <v>158219.53</v>
      </c>
    </row>
    <row r="398" spans="1:7" x14ac:dyDescent="0.3">
      <c r="A398" t="s">
        <v>364</v>
      </c>
      <c r="B398" t="s">
        <v>364</v>
      </c>
      <c r="C398" t="s">
        <v>21</v>
      </c>
      <c r="D398" t="s">
        <v>382</v>
      </c>
      <c r="E398" s="1">
        <v>21246.5</v>
      </c>
      <c r="F398" s="1">
        <v>21246.5</v>
      </c>
      <c r="G398" s="1">
        <v>21246.5</v>
      </c>
    </row>
    <row r="399" spans="1:7" x14ac:dyDescent="0.3">
      <c r="A399" t="s">
        <v>364</v>
      </c>
      <c r="B399" t="s">
        <v>364</v>
      </c>
      <c r="C399" t="s">
        <v>21</v>
      </c>
      <c r="D399" t="s">
        <v>383</v>
      </c>
      <c r="E399" s="1">
        <v>19060.23</v>
      </c>
      <c r="F399" s="1">
        <v>19060.23</v>
      </c>
      <c r="G399" s="1">
        <v>19060.23</v>
      </c>
    </row>
    <row r="400" spans="1:7" x14ac:dyDescent="0.3">
      <c r="A400" t="s">
        <v>364</v>
      </c>
      <c r="B400" t="s">
        <v>364</v>
      </c>
      <c r="C400" t="s">
        <v>22</v>
      </c>
      <c r="D400" t="s">
        <v>365</v>
      </c>
      <c r="E400" s="1">
        <v>9272014.1999999993</v>
      </c>
      <c r="F400" s="1">
        <v>9272014.1999999993</v>
      </c>
      <c r="G400" s="1">
        <v>9272014.1999999993</v>
      </c>
    </row>
    <row r="401" spans="1:7" x14ac:dyDescent="0.3">
      <c r="A401" t="s">
        <v>364</v>
      </c>
      <c r="B401" t="s">
        <v>364</v>
      </c>
      <c r="C401" t="s">
        <v>22</v>
      </c>
      <c r="D401" t="s">
        <v>367</v>
      </c>
      <c r="E401" s="1">
        <v>8253503.3399999999</v>
      </c>
      <c r="F401" s="1">
        <v>8253503.3399999999</v>
      </c>
      <c r="G401" s="1">
        <v>8253503.3399999999</v>
      </c>
    </row>
    <row r="402" spans="1:7" x14ac:dyDescent="0.3">
      <c r="A402" t="s">
        <v>364</v>
      </c>
      <c r="B402" t="s">
        <v>364</v>
      </c>
      <c r="C402" t="s">
        <v>22</v>
      </c>
      <c r="D402" t="s">
        <v>384</v>
      </c>
      <c r="E402" s="1">
        <v>8095024.7999999998</v>
      </c>
      <c r="F402" s="1">
        <v>8095024.7999999998</v>
      </c>
      <c r="G402" s="1">
        <v>8095024.7999999998</v>
      </c>
    </row>
    <row r="403" spans="1:7" x14ac:dyDescent="0.3">
      <c r="A403" t="s">
        <v>364</v>
      </c>
      <c r="B403" t="s">
        <v>364</v>
      </c>
      <c r="C403" t="s">
        <v>22</v>
      </c>
      <c r="D403" t="s">
        <v>385</v>
      </c>
      <c r="E403" s="1">
        <v>8017448.0800000001</v>
      </c>
      <c r="F403" s="1">
        <v>8017448.0800000001</v>
      </c>
      <c r="G403" s="1">
        <v>8017448.0800000001</v>
      </c>
    </row>
    <row r="404" spans="1:7" x14ac:dyDescent="0.3">
      <c r="A404" t="s">
        <v>364</v>
      </c>
      <c r="B404" t="s">
        <v>364</v>
      </c>
      <c r="C404" t="s">
        <v>22</v>
      </c>
      <c r="D404" t="s">
        <v>386</v>
      </c>
      <c r="E404" s="1">
        <v>3542295.4</v>
      </c>
      <c r="F404" s="1">
        <v>3542295.4</v>
      </c>
      <c r="G404" s="1">
        <v>3542295.4</v>
      </c>
    </row>
    <row r="405" spans="1:7" x14ac:dyDescent="0.3">
      <c r="A405" t="s">
        <v>364</v>
      </c>
      <c r="B405" t="s">
        <v>364</v>
      </c>
      <c r="C405" t="s">
        <v>22</v>
      </c>
      <c r="D405" t="s">
        <v>387</v>
      </c>
      <c r="E405" s="1">
        <v>2946352.8</v>
      </c>
      <c r="F405" s="1">
        <v>2946352.8</v>
      </c>
      <c r="G405" s="1">
        <v>2946352.8</v>
      </c>
    </row>
    <row r="406" spans="1:7" x14ac:dyDescent="0.3">
      <c r="A406" t="s">
        <v>364</v>
      </c>
      <c r="B406" t="s">
        <v>364</v>
      </c>
      <c r="C406" t="s">
        <v>22</v>
      </c>
      <c r="D406" t="s">
        <v>388</v>
      </c>
      <c r="E406" s="1">
        <v>1769979.2</v>
      </c>
      <c r="F406" s="1">
        <v>1769979.2</v>
      </c>
      <c r="G406" s="1">
        <v>1769979.2</v>
      </c>
    </row>
    <row r="407" spans="1:7" x14ac:dyDescent="0.3">
      <c r="A407" t="s">
        <v>364</v>
      </c>
      <c r="B407" t="s">
        <v>364</v>
      </c>
      <c r="C407" t="s">
        <v>22</v>
      </c>
      <c r="D407" t="s">
        <v>389</v>
      </c>
      <c r="E407" s="1">
        <v>1601061.28</v>
      </c>
      <c r="F407" s="1">
        <v>1601061.28</v>
      </c>
      <c r="G407" s="1">
        <v>1601061.28</v>
      </c>
    </row>
    <row r="408" spans="1:7" x14ac:dyDescent="0.3">
      <c r="A408" t="s">
        <v>364</v>
      </c>
      <c r="B408" t="s">
        <v>364</v>
      </c>
      <c r="C408" t="s">
        <v>22</v>
      </c>
      <c r="D408" t="s">
        <v>390</v>
      </c>
      <c r="E408" s="1">
        <v>1382879.6</v>
      </c>
      <c r="F408" s="1">
        <v>1382879.6</v>
      </c>
      <c r="G408" s="1">
        <v>1382879.6</v>
      </c>
    </row>
    <row r="409" spans="1:7" x14ac:dyDescent="0.3">
      <c r="A409" t="s">
        <v>364</v>
      </c>
      <c r="B409" t="s">
        <v>364</v>
      </c>
      <c r="C409" t="s">
        <v>27</v>
      </c>
      <c r="D409" t="s">
        <v>391</v>
      </c>
      <c r="E409" s="1">
        <v>23566698.239999998</v>
      </c>
      <c r="F409" s="1">
        <v>23566698.239999998</v>
      </c>
      <c r="G409" s="1">
        <v>23566698.239999998</v>
      </c>
    </row>
    <row r="410" spans="1:7" x14ac:dyDescent="0.3">
      <c r="A410" t="s">
        <v>364</v>
      </c>
      <c r="B410" t="s">
        <v>364</v>
      </c>
      <c r="C410" t="s">
        <v>27</v>
      </c>
      <c r="D410" t="s">
        <v>365</v>
      </c>
      <c r="E410" s="1">
        <v>4231103.58</v>
      </c>
      <c r="F410" s="1">
        <v>4231103.58</v>
      </c>
      <c r="G410" s="1">
        <v>4231103.58</v>
      </c>
    </row>
    <row r="411" spans="1:7" x14ac:dyDescent="0.3">
      <c r="A411" t="s">
        <v>364</v>
      </c>
      <c r="B411" t="s">
        <v>364</v>
      </c>
      <c r="C411" t="s">
        <v>54</v>
      </c>
      <c r="D411" t="s">
        <v>392</v>
      </c>
      <c r="E411" s="1">
        <v>8204678.54</v>
      </c>
      <c r="F411" s="1">
        <v>8204678.54</v>
      </c>
      <c r="G411" s="1">
        <v>8204678.54</v>
      </c>
    </row>
    <row r="412" spans="1:7" x14ac:dyDescent="0.3">
      <c r="A412" t="s">
        <v>364</v>
      </c>
      <c r="B412" t="s">
        <v>364</v>
      </c>
      <c r="C412" t="s">
        <v>54</v>
      </c>
      <c r="D412" t="s">
        <v>388</v>
      </c>
      <c r="E412" s="1">
        <v>6780315.5199999996</v>
      </c>
      <c r="F412" s="1">
        <v>6780315.5199999996</v>
      </c>
      <c r="G412" s="1">
        <v>6780315.5199999996</v>
      </c>
    </row>
    <row r="413" spans="1:7" x14ac:dyDescent="0.3">
      <c r="A413" t="s">
        <v>364</v>
      </c>
      <c r="B413" t="s">
        <v>364</v>
      </c>
      <c r="C413" t="s">
        <v>54</v>
      </c>
      <c r="D413" t="s">
        <v>393</v>
      </c>
      <c r="E413" s="1">
        <v>5231366.1500000004</v>
      </c>
      <c r="F413" s="1">
        <v>5231366.1500000004</v>
      </c>
      <c r="G413" s="1">
        <v>5231366.1500000004</v>
      </c>
    </row>
    <row r="414" spans="1:7" x14ac:dyDescent="0.3">
      <c r="A414" t="s">
        <v>364</v>
      </c>
      <c r="B414" t="s">
        <v>364</v>
      </c>
      <c r="C414" t="s">
        <v>23</v>
      </c>
      <c r="D414" t="s">
        <v>394</v>
      </c>
      <c r="E414" s="1">
        <v>15708929.300000001</v>
      </c>
      <c r="F414" s="1">
        <v>15708929.300000001</v>
      </c>
      <c r="G414" s="1">
        <v>15708929.300000001</v>
      </c>
    </row>
    <row r="415" spans="1:7" x14ac:dyDescent="0.3">
      <c r="A415" t="s">
        <v>364</v>
      </c>
      <c r="B415" t="s">
        <v>364</v>
      </c>
      <c r="C415" t="s">
        <v>23</v>
      </c>
      <c r="D415" t="s">
        <v>395</v>
      </c>
      <c r="E415" s="1">
        <v>33432</v>
      </c>
      <c r="F415" s="1">
        <v>33432</v>
      </c>
      <c r="G415" s="1">
        <v>33432</v>
      </c>
    </row>
    <row r="416" spans="1:7" x14ac:dyDescent="0.3">
      <c r="A416" t="s">
        <v>364</v>
      </c>
      <c r="B416" t="s">
        <v>364</v>
      </c>
      <c r="C416" t="s">
        <v>26</v>
      </c>
      <c r="D416" t="s">
        <v>365</v>
      </c>
      <c r="E416" s="1">
        <v>7642637.9000000004</v>
      </c>
      <c r="F416" s="1">
        <v>7642637.9000000004</v>
      </c>
      <c r="G416" s="1">
        <v>7642637.9000000004</v>
      </c>
    </row>
    <row r="417" spans="1:7" x14ac:dyDescent="0.3">
      <c r="A417" t="s">
        <v>364</v>
      </c>
      <c r="B417" t="s">
        <v>364</v>
      </c>
      <c r="C417" t="s">
        <v>26</v>
      </c>
      <c r="D417" t="s">
        <v>396</v>
      </c>
      <c r="E417" s="1">
        <v>2217835.25</v>
      </c>
      <c r="F417" s="1">
        <v>2217835.25</v>
      </c>
      <c r="G417" s="1">
        <v>2217835.25</v>
      </c>
    </row>
    <row r="418" spans="1:7" x14ac:dyDescent="0.3">
      <c r="A418" t="s">
        <v>364</v>
      </c>
      <c r="B418" t="s">
        <v>364</v>
      </c>
      <c r="C418" t="s">
        <v>26</v>
      </c>
      <c r="D418" t="s">
        <v>397</v>
      </c>
      <c r="E418" s="1">
        <v>17800</v>
      </c>
      <c r="F418" s="1">
        <v>17800</v>
      </c>
      <c r="G418" s="1">
        <v>17800</v>
      </c>
    </row>
    <row r="419" spans="1:7" x14ac:dyDescent="0.3">
      <c r="A419" t="s">
        <v>364</v>
      </c>
      <c r="B419" t="s">
        <v>364</v>
      </c>
      <c r="C419" t="s">
        <v>25</v>
      </c>
      <c r="D419" t="s">
        <v>398</v>
      </c>
      <c r="E419" s="1">
        <v>9552215.2400000002</v>
      </c>
      <c r="F419" s="1">
        <v>9552215.2400000002</v>
      </c>
      <c r="G419" s="1">
        <v>9552215.2400000002</v>
      </c>
    </row>
    <row r="420" spans="1:7" x14ac:dyDescent="0.3">
      <c r="A420" t="s">
        <v>364</v>
      </c>
      <c r="B420" t="s">
        <v>364</v>
      </c>
      <c r="C420" t="s">
        <v>33</v>
      </c>
      <c r="D420" t="s">
        <v>399</v>
      </c>
      <c r="E420" s="1">
        <v>9414901.3599999994</v>
      </c>
      <c r="F420" s="1">
        <v>9414901.3599999994</v>
      </c>
      <c r="G420" s="1">
        <v>9414901.3599999994</v>
      </c>
    </row>
    <row r="421" spans="1:7" x14ac:dyDescent="0.3">
      <c r="A421" t="s">
        <v>364</v>
      </c>
      <c r="B421" t="s">
        <v>364</v>
      </c>
      <c r="C421" t="s">
        <v>29</v>
      </c>
      <c r="D421" t="s">
        <v>400</v>
      </c>
      <c r="E421" s="1">
        <v>3821798.21</v>
      </c>
      <c r="F421" s="1">
        <v>3821798.21</v>
      </c>
      <c r="G421" s="1">
        <v>3821798.21</v>
      </c>
    </row>
    <row r="422" spans="1:7" x14ac:dyDescent="0.3">
      <c r="A422" t="s">
        <v>364</v>
      </c>
      <c r="B422" t="s">
        <v>364</v>
      </c>
      <c r="C422" t="s">
        <v>7</v>
      </c>
      <c r="D422" t="s">
        <v>391</v>
      </c>
      <c r="E422" s="1">
        <v>1817576.07</v>
      </c>
      <c r="F422" s="1">
        <v>1817576.07</v>
      </c>
      <c r="G422" s="1">
        <v>1817576.07</v>
      </c>
    </row>
    <row r="423" spans="1:7" x14ac:dyDescent="0.3">
      <c r="A423" t="s">
        <v>364</v>
      </c>
      <c r="B423" t="s">
        <v>364</v>
      </c>
      <c r="C423" t="s">
        <v>55</v>
      </c>
      <c r="D423" t="s">
        <v>400</v>
      </c>
      <c r="E423" s="1">
        <v>217790.64</v>
      </c>
      <c r="F423" s="1">
        <v>217790.64</v>
      </c>
      <c r="G423" s="1">
        <v>217790.64</v>
      </c>
    </row>
    <row r="424" spans="1:7" x14ac:dyDescent="0.3">
      <c r="A424" t="s">
        <v>364</v>
      </c>
      <c r="B424" t="s">
        <v>364</v>
      </c>
      <c r="C424" t="s">
        <v>36</v>
      </c>
      <c r="D424" t="s">
        <v>370</v>
      </c>
      <c r="E424" s="1">
        <v>178329.60000000001</v>
      </c>
      <c r="F424" s="1">
        <v>178329.60000000001</v>
      </c>
      <c r="G424" s="1">
        <v>178329.60000000001</v>
      </c>
    </row>
    <row r="425" spans="1:7" x14ac:dyDescent="0.3">
      <c r="A425" t="s">
        <v>364</v>
      </c>
      <c r="B425" t="s">
        <v>364</v>
      </c>
      <c r="C425" t="s">
        <v>18</v>
      </c>
      <c r="D425" t="s">
        <v>401</v>
      </c>
      <c r="E425" s="1">
        <v>136989.85999999999</v>
      </c>
      <c r="F425" s="1">
        <v>136989.85999999999</v>
      </c>
      <c r="G425" s="1">
        <v>136989.85999999999</v>
      </c>
    </row>
    <row r="426" spans="1:7" x14ac:dyDescent="0.3">
      <c r="A426" t="s">
        <v>364</v>
      </c>
      <c r="B426" t="s">
        <v>364</v>
      </c>
      <c r="C426" t="s">
        <v>31</v>
      </c>
      <c r="D426" t="s">
        <v>402</v>
      </c>
      <c r="E426" s="1">
        <v>57952</v>
      </c>
      <c r="F426" s="1">
        <v>57952</v>
      </c>
      <c r="G426" s="1">
        <v>57952</v>
      </c>
    </row>
    <row r="427" spans="1:7" x14ac:dyDescent="0.3">
      <c r="A427" t="s">
        <v>364</v>
      </c>
      <c r="B427" t="s">
        <v>364</v>
      </c>
      <c r="C427" t="s">
        <v>30</v>
      </c>
      <c r="D427" t="s">
        <v>68</v>
      </c>
      <c r="E427" s="1">
        <v>49950</v>
      </c>
      <c r="F427" s="1">
        <v>49950</v>
      </c>
      <c r="G427" s="1">
        <v>49950</v>
      </c>
    </row>
    <row r="428" spans="1:7" x14ac:dyDescent="0.3">
      <c r="A428" t="s">
        <v>403</v>
      </c>
      <c r="B428" t="s">
        <v>403</v>
      </c>
      <c r="C428" t="s">
        <v>28</v>
      </c>
      <c r="D428" t="s">
        <v>404</v>
      </c>
      <c r="E428" s="1">
        <v>9702724</v>
      </c>
      <c r="F428" s="1">
        <v>9702724</v>
      </c>
      <c r="G428" s="1">
        <v>9702724</v>
      </c>
    </row>
    <row r="429" spans="1:7" x14ac:dyDescent="0.3">
      <c r="A429" t="s">
        <v>403</v>
      </c>
      <c r="B429" t="s">
        <v>403</v>
      </c>
      <c r="C429" t="s">
        <v>28</v>
      </c>
      <c r="D429" t="s">
        <v>405</v>
      </c>
      <c r="E429" s="1">
        <v>9441436.0999999996</v>
      </c>
      <c r="F429" s="1">
        <v>9441436.0999999996</v>
      </c>
      <c r="G429" s="1">
        <v>9441436.0999999996</v>
      </c>
    </row>
    <row r="430" spans="1:7" x14ac:dyDescent="0.3">
      <c r="A430" t="s">
        <v>403</v>
      </c>
      <c r="B430" t="s">
        <v>403</v>
      </c>
      <c r="C430" t="s">
        <v>28</v>
      </c>
      <c r="D430" t="s">
        <v>406</v>
      </c>
      <c r="E430" s="1">
        <v>6763783.4000000004</v>
      </c>
      <c r="F430" s="1">
        <v>6763783.4000000004</v>
      </c>
      <c r="G430" s="1">
        <v>6763783.4000000004</v>
      </c>
    </row>
    <row r="431" spans="1:7" x14ac:dyDescent="0.3">
      <c r="A431" t="s">
        <v>403</v>
      </c>
      <c r="B431" t="s">
        <v>403</v>
      </c>
      <c r="C431" t="s">
        <v>23</v>
      </c>
      <c r="D431" t="s">
        <v>405</v>
      </c>
      <c r="E431" s="1">
        <v>17351974</v>
      </c>
      <c r="F431" s="1">
        <v>17351974</v>
      </c>
      <c r="G431" s="1">
        <v>17351974</v>
      </c>
    </row>
    <row r="432" spans="1:7" x14ac:dyDescent="0.3">
      <c r="A432" t="s">
        <v>403</v>
      </c>
      <c r="B432" t="s">
        <v>403</v>
      </c>
      <c r="C432" t="s">
        <v>7</v>
      </c>
      <c r="D432" t="s">
        <v>405</v>
      </c>
      <c r="E432" s="1">
        <v>5016462.92</v>
      </c>
      <c r="F432" s="1">
        <v>5016462.92</v>
      </c>
      <c r="G432" s="1">
        <v>5016462.92</v>
      </c>
    </row>
    <row r="433" spans="1:7" x14ac:dyDescent="0.3">
      <c r="A433" t="s">
        <v>403</v>
      </c>
      <c r="B433" t="s">
        <v>403</v>
      </c>
      <c r="C433" t="s">
        <v>21</v>
      </c>
      <c r="D433" t="s">
        <v>64</v>
      </c>
      <c r="E433" s="1">
        <v>2503362.59</v>
      </c>
      <c r="F433" s="1">
        <v>2503362.59</v>
      </c>
      <c r="G433" s="1">
        <v>2503362.59</v>
      </c>
    </row>
    <row r="434" spans="1:7" x14ac:dyDescent="0.3">
      <c r="A434" t="s">
        <v>403</v>
      </c>
      <c r="B434" t="s">
        <v>403</v>
      </c>
      <c r="C434" t="s">
        <v>21</v>
      </c>
      <c r="D434" t="s">
        <v>404</v>
      </c>
      <c r="E434" s="1">
        <v>985980</v>
      </c>
      <c r="F434" s="1">
        <v>985980</v>
      </c>
      <c r="G434" s="1">
        <v>985980</v>
      </c>
    </row>
    <row r="435" spans="1:7" x14ac:dyDescent="0.3">
      <c r="A435" t="s">
        <v>403</v>
      </c>
      <c r="B435" t="s">
        <v>403</v>
      </c>
      <c r="C435" t="s">
        <v>26</v>
      </c>
      <c r="D435" t="s">
        <v>408</v>
      </c>
      <c r="E435" s="1">
        <v>1567314.43</v>
      </c>
      <c r="F435" s="1">
        <v>1567314.43</v>
      </c>
      <c r="G435" s="1">
        <v>1567314.43</v>
      </c>
    </row>
    <row r="436" spans="1:7" x14ac:dyDescent="0.3">
      <c r="A436" t="s">
        <v>403</v>
      </c>
      <c r="B436" t="s">
        <v>403</v>
      </c>
      <c r="C436" t="s">
        <v>18</v>
      </c>
      <c r="D436" t="s">
        <v>404</v>
      </c>
      <c r="E436" s="1">
        <v>832318.55</v>
      </c>
      <c r="F436" s="1">
        <v>832318.55</v>
      </c>
      <c r="G436" s="1">
        <v>832318.55</v>
      </c>
    </row>
    <row r="437" spans="1:7" x14ac:dyDescent="0.3">
      <c r="A437" t="s">
        <v>403</v>
      </c>
      <c r="B437" t="s">
        <v>403</v>
      </c>
      <c r="C437" t="s">
        <v>18</v>
      </c>
      <c r="D437" t="s">
        <v>409</v>
      </c>
      <c r="E437" s="1">
        <v>74202</v>
      </c>
      <c r="F437" s="1">
        <v>74202</v>
      </c>
      <c r="G437" s="1">
        <v>74202</v>
      </c>
    </row>
    <row r="438" spans="1:7" x14ac:dyDescent="0.3">
      <c r="A438" t="s">
        <v>403</v>
      </c>
      <c r="B438" t="s">
        <v>403</v>
      </c>
      <c r="C438" t="s">
        <v>25</v>
      </c>
      <c r="D438" t="s">
        <v>407</v>
      </c>
      <c r="E438" s="1">
        <v>716912.92</v>
      </c>
      <c r="F438" s="1">
        <v>716912.92</v>
      </c>
      <c r="G438" s="1">
        <v>716912.92</v>
      </c>
    </row>
    <row r="439" spans="1:7" x14ac:dyDescent="0.3">
      <c r="A439" t="s">
        <v>403</v>
      </c>
      <c r="B439" t="s">
        <v>403</v>
      </c>
      <c r="C439" t="s">
        <v>27</v>
      </c>
      <c r="D439" t="s">
        <v>407</v>
      </c>
      <c r="E439" s="1">
        <v>406622.58</v>
      </c>
      <c r="F439" s="1">
        <v>406622.58</v>
      </c>
      <c r="G439" s="1">
        <v>406622.58</v>
      </c>
    </row>
    <row r="440" spans="1:7" x14ac:dyDescent="0.3">
      <c r="A440" t="s">
        <v>403</v>
      </c>
      <c r="B440" t="s">
        <v>403</v>
      </c>
      <c r="C440" t="s">
        <v>30</v>
      </c>
      <c r="D440" t="s">
        <v>410</v>
      </c>
      <c r="E440" s="1">
        <v>218398</v>
      </c>
      <c r="F440" s="1">
        <v>218398</v>
      </c>
      <c r="G440" s="1">
        <v>218398</v>
      </c>
    </row>
    <row r="441" spans="1:7" x14ac:dyDescent="0.3">
      <c r="A441" t="s">
        <v>403</v>
      </c>
      <c r="B441" t="s">
        <v>403</v>
      </c>
      <c r="C441" t="s">
        <v>30</v>
      </c>
      <c r="D441" t="s">
        <v>363</v>
      </c>
      <c r="E441" s="1">
        <v>5000</v>
      </c>
      <c r="F441" s="1">
        <v>5000</v>
      </c>
      <c r="G441" s="1">
        <v>5000</v>
      </c>
    </row>
    <row r="442" spans="1:7" x14ac:dyDescent="0.3">
      <c r="A442" t="s">
        <v>403</v>
      </c>
      <c r="B442" t="s">
        <v>403</v>
      </c>
      <c r="C442" t="s">
        <v>29</v>
      </c>
      <c r="D442" t="s">
        <v>407</v>
      </c>
      <c r="E442" s="1">
        <v>140849.85</v>
      </c>
      <c r="F442" s="1">
        <v>140849.85</v>
      </c>
      <c r="G442" s="1">
        <v>140849.85</v>
      </c>
    </row>
    <row r="443" spans="1:7" x14ac:dyDescent="0.3">
      <c r="A443" t="s">
        <v>411</v>
      </c>
      <c r="B443" t="s">
        <v>411</v>
      </c>
      <c r="C443" t="s">
        <v>21</v>
      </c>
      <c r="D443" t="s">
        <v>412</v>
      </c>
      <c r="E443" s="1">
        <v>12526161.460000001</v>
      </c>
      <c r="F443" s="1">
        <v>12526161.460000001</v>
      </c>
      <c r="G443" s="1">
        <v>12526161.460000001</v>
      </c>
    </row>
    <row r="444" spans="1:7" x14ac:dyDescent="0.3">
      <c r="A444" t="s">
        <v>411</v>
      </c>
      <c r="B444" t="s">
        <v>411</v>
      </c>
      <c r="C444" t="s">
        <v>21</v>
      </c>
      <c r="D444" t="s">
        <v>413</v>
      </c>
      <c r="E444" s="1">
        <v>7887166.9400000004</v>
      </c>
      <c r="F444" s="1">
        <v>7887166.9400000004</v>
      </c>
      <c r="G444" s="1">
        <v>7887166.9400000004</v>
      </c>
    </row>
    <row r="445" spans="1:7" x14ac:dyDescent="0.3">
      <c r="A445" t="s">
        <v>411</v>
      </c>
      <c r="B445" t="s">
        <v>411</v>
      </c>
      <c r="C445" t="s">
        <v>21</v>
      </c>
      <c r="D445" t="s">
        <v>414</v>
      </c>
      <c r="E445" s="1">
        <v>1549116.06</v>
      </c>
      <c r="F445" s="1">
        <v>1549116.06</v>
      </c>
      <c r="G445" s="1">
        <v>1549116.06</v>
      </c>
    </row>
    <row r="446" spans="1:7" x14ac:dyDescent="0.3">
      <c r="A446" t="s">
        <v>411</v>
      </c>
      <c r="B446" t="s">
        <v>411</v>
      </c>
      <c r="C446" t="s">
        <v>21</v>
      </c>
      <c r="D446" t="s">
        <v>415</v>
      </c>
      <c r="E446" s="1">
        <v>558402.14</v>
      </c>
      <c r="F446" s="1">
        <v>558402.14</v>
      </c>
      <c r="G446" s="1">
        <v>558402.14</v>
      </c>
    </row>
    <row r="447" spans="1:7" x14ac:dyDescent="0.3">
      <c r="A447" t="s">
        <v>411</v>
      </c>
      <c r="B447" t="s">
        <v>411</v>
      </c>
      <c r="C447" t="s">
        <v>21</v>
      </c>
      <c r="D447" t="s">
        <v>416</v>
      </c>
      <c r="E447" s="1">
        <v>512565.56</v>
      </c>
      <c r="F447" s="1">
        <v>512565.56</v>
      </c>
      <c r="G447" s="1">
        <v>512565.56</v>
      </c>
    </row>
    <row r="448" spans="1:7" x14ac:dyDescent="0.3">
      <c r="A448" t="s">
        <v>411</v>
      </c>
      <c r="B448" t="s">
        <v>411</v>
      </c>
      <c r="C448" t="s">
        <v>21</v>
      </c>
      <c r="D448" t="s">
        <v>417</v>
      </c>
      <c r="E448" s="1">
        <v>477980.22</v>
      </c>
      <c r="F448" s="1">
        <v>477980.22</v>
      </c>
      <c r="G448" s="1">
        <v>477980.22</v>
      </c>
    </row>
    <row r="449" spans="1:7" x14ac:dyDescent="0.3">
      <c r="A449" t="s">
        <v>411</v>
      </c>
      <c r="B449" t="s">
        <v>411</v>
      </c>
      <c r="C449" t="s">
        <v>21</v>
      </c>
      <c r="D449" t="s">
        <v>418</v>
      </c>
      <c r="E449" s="1">
        <v>458431.78</v>
      </c>
      <c r="F449" s="1">
        <v>458431.78</v>
      </c>
      <c r="G449" s="1">
        <v>458431.78</v>
      </c>
    </row>
    <row r="450" spans="1:7" x14ac:dyDescent="0.3">
      <c r="A450" t="s">
        <v>411</v>
      </c>
      <c r="B450" t="s">
        <v>411</v>
      </c>
      <c r="C450" t="s">
        <v>21</v>
      </c>
      <c r="D450" t="s">
        <v>419</v>
      </c>
      <c r="E450" s="1">
        <v>12480563.65</v>
      </c>
      <c r="F450" s="1">
        <v>12480563.65</v>
      </c>
      <c r="G450" s="1">
        <v>12480563.65</v>
      </c>
    </row>
    <row r="451" spans="1:7" x14ac:dyDescent="0.3">
      <c r="A451" t="s">
        <v>411</v>
      </c>
      <c r="B451" t="s">
        <v>411</v>
      </c>
      <c r="C451" t="s">
        <v>20</v>
      </c>
      <c r="D451" t="s">
        <v>421</v>
      </c>
      <c r="E451" s="1">
        <v>5645346</v>
      </c>
      <c r="F451" s="1">
        <v>5645346</v>
      </c>
      <c r="G451" s="1">
        <v>5645346</v>
      </c>
    </row>
    <row r="452" spans="1:7" x14ac:dyDescent="0.3">
      <c r="A452" t="s">
        <v>411</v>
      </c>
      <c r="B452" t="s">
        <v>411</v>
      </c>
      <c r="C452" t="s">
        <v>20</v>
      </c>
      <c r="D452" t="s">
        <v>422</v>
      </c>
      <c r="E452" s="1">
        <v>3202791.62</v>
      </c>
      <c r="F452" s="1">
        <v>3202791.62</v>
      </c>
      <c r="G452" s="1">
        <v>3202791.62</v>
      </c>
    </row>
    <row r="453" spans="1:7" x14ac:dyDescent="0.3">
      <c r="A453" t="s">
        <v>411</v>
      </c>
      <c r="B453" t="s">
        <v>411</v>
      </c>
      <c r="C453" t="s">
        <v>20</v>
      </c>
      <c r="D453" t="s">
        <v>423</v>
      </c>
      <c r="E453" s="1">
        <v>658427.02</v>
      </c>
      <c r="F453" s="1">
        <v>658427.02</v>
      </c>
      <c r="G453" s="1">
        <v>658427.02</v>
      </c>
    </row>
    <row r="454" spans="1:7" x14ac:dyDescent="0.3">
      <c r="A454" t="s">
        <v>411</v>
      </c>
      <c r="B454" t="s">
        <v>411</v>
      </c>
      <c r="C454" t="s">
        <v>28</v>
      </c>
      <c r="D454" t="s">
        <v>424</v>
      </c>
      <c r="E454" s="1">
        <v>7667749.2000000002</v>
      </c>
      <c r="F454" s="1">
        <v>7667749.2000000002</v>
      </c>
      <c r="G454" s="1">
        <v>7667749.2000000002</v>
      </c>
    </row>
    <row r="455" spans="1:7" x14ac:dyDescent="0.3">
      <c r="A455" t="s">
        <v>411</v>
      </c>
      <c r="B455" t="s">
        <v>411</v>
      </c>
      <c r="C455" t="s">
        <v>23</v>
      </c>
      <c r="D455" t="s">
        <v>425</v>
      </c>
      <c r="E455" s="1">
        <v>6154495</v>
      </c>
      <c r="F455" s="1">
        <v>6154495</v>
      </c>
      <c r="G455" s="1">
        <v>6154495</v>
      </c>
    </row>
    <row r="456" spans="1:7" x14ac:dyDescent="0.3">
      <c r="A456" t="s">
        <v>411</v>
      </c>
      <c r="B456" t="s">
        <v>411</v>
      </c>
      <c r="C456" t="s">
        <v>25</v>
      </c>
      <c r="D456" t="s">
        <v>426</v>
      </c>
      <c r="E456" s="1">
        <v>2349696.88</v>
      </c>
      <c r="F456" s="1">
        <v>2349696.88</v>
      </c>
      <c r="G456" s="1">
        <v>2349696.88</v>
      </c>
    </row>
    <row r="457" spans="1:7" x14ac:dyDescent="0.3">
      <c r="A457" t="s">
        <v>411</v>
      </c>
      <c r="B457" t="s">
        <v>411</v>
      </c>
      <c r="C457" t="s">
        <v>25</v>
      </c>
      <c r="D457" t="s">
        <v>419</v>
      </c>
      <c r="E457" s="1">
        <v>780570.38</v>
      </c>
      <c r="F457" s="1">
        <v>780570.38</v>
      </c>
      <c r="G457" s="1">
        <v>780570.38</v>
      </c>
    </row>
    <row r="458" spans="1:7" x14ac:dyDescent="0.3">
      <c r="A458" t="s">
        <v>411</v>
      </c>
      <c r="B458" t="s">
        <v>411</v>
      </c>
      <c r="C458" t="s">
        <v>25</v>
      </c>
      <c r="D458" t="s">
        <v>427</v>
      </c>
      <c r="E458" s="1">
        <v>9180.7999999999993</v>
      </c>
      <c r="F458" s="1">
        <v>9180.7999999999993</v>
      </c>
      <c r="G458" s="1">
        <v>9180.7999999999993</v>
      </c>
    </row>
    <row r="459" spans="1:7" x14ac:dyDescent="0.3">
      <c r="A459" t="s">
        <v>411</v>
      </c>
      <c r="B459" t="s">
        <v>411</v>
      </c>
      <c r="C459" t="s">
        <v>25</v>
      </c>
      <c r="D459" t="s">
        <v>412</v>
      </c>
      <c r="E459" s="1">
        <v>3000</v>
      </c>
      <c r="F459" s="1">
        <v>3000</v>
      </c>
      <c r="G459" s="1">
        <v>3000</v>
      </c>
    </row>
    <row r="460" spans="1:7" x14ac:dyDescent="0.3">
      <c r="A460" t="s">
        <v>411</v>
      </c>
      <c r="B460" t="s">
        <v>411</v>
      </c>
      <c r="C460" t="s">
        <v>22</v>
      </c>
      <c r="D460" t="s">
        <v>415</v>
      </c>
      <c r="E460" s="1">
        <v>1052963</v>
      </c>
      <c r="F460" s="1">
        <v>1052963</v>
      </c>
      <c r="G460" s="1">
        <v>1052963</v>
      </c>
    </row>
    <row r="461" spans="1:7" x14ac:dyDescent="0.3">
      <c r="A461" t="s">
        <v>411</v>
      </c>
      <c r="B461" t="s">
        <v>411</v>
      </c>
      <c r="C461" t="s">
        <v>22</v>
      </c>
      <c r="D461" t="s">
        <v>428</v>
      </c>
      <c r="E461" s="1">
        <v>658322</v>
      </c>
      <c r="F461" s="1">
        <v>658322</v>
      </c>
      <c r="G461" s="1">
        <v>658322</v>
      </c>
    </row>
    <row r="462" spans="1:7" x14ac:dyDescent="0.3">
      <c r="A462" t="s">
        <v>411</v>
      </c>
      <c r="B462" t="s">
        <v>411</v>
      </c>
      <c r="C462" t="s">
        <v>22</v>
      </c>
      <c r="D462" t="s">
        <v>429</v>
      </c>
      <c r="E462" s="1">
        <v>434751.68</v>
      </c>
      <c r="F462" s="1">
        <v>434751.68</v>
      </c>
      <c r="G462" s="1">
        <v>434751.68</v>
      </c>
    </row>
    <row r="463" spans="1:7" x14ac:dyDescent="0.3">
      <c r="A463" t="s">
        <v>411</v>
      </c>
      <c r="B463" t="s">
        <v>411</v>
      </c>
      <c r="C463" t="s">
        <v>22</v>
      </c>
      <c r="D463" t="s">
        <v>430</v>
      </c>
      <c r="E463" s="1">
        <v>56655</v>
      </c>
      <c r="F463" s="1">
        <v>56655</v>
      </c>
      <c r="G463" s="1">
        <v>56655</v>
      </c>
    </row>
    <row r="464" spans="1:7" x14ac:dyDescent="0.3">
      <c r="A464" t="s">
        <v>411</v>
      </c>
      <c r="B464" t="s">
        <v>411</v>
      </c>
      <c r="C464" t="s">
        <v>27</v>
      </c>
      <c r="D464" t="s">
        <v>420</v>
      </c>
      <c r="E464" s="1">
        <v>1488497.64</v>
      </c>
      <c r="F464" s="1">
        <v>1488497.64</v>
      </c>
      <c r="G464" s="1">
        <v>1488497.64</v>
      </c>
    </row>
    <row r="465" spans="1:7" x14ac:dyDescent="0.3">
      <c r="A465" t="s">
        <v>411</v>
      </c>
      <c r="B465" t="s">
        <v>411</v>
      </c>
      <c r="C465" t="s">
        <v>36</v>
      </c>
      <c r="D465" t="s">
        <v>362</v>
      </c>
      <c r="E465" s="1">
        <v>129168</v>
      </c>
      <c r="F465" s="1">
        <v>129168</v>
      </c>
      <c r="G465" s="1">
        <v>129168</v>
      </c>
    </row>
    <row r="466" spans="1:7" x14ac:dyDescent="0.3">
      <c r="A466" t="s">
        <v>411</v>
      </c>
      <c r="B466" t="s">
        <v>411</v>
      </c>
      <c r="C466" t="s">
        <v>36</v>
      </c>
      <c r="D466" t="s">
        <v>431</v>
      </c>
      <c r="E466" s="1">
        <v>115964.16</v>
      </c>
      <c r="F466" s="1">
        <v>115964.16</v>
      </c>
      <c r="G466" s="1">
        <v>115964.16</v>
      </c>
    </row>
    <row r="467" spans="1:7" x14ac:dyDescent="0.3">
      <c r="A467" t="s">
        <v>411</v>
      </c>
      <c r="B467" t="s">
        <v>411</v>
      </c>
      <c r="C467" t="s">
        <v>26</v>
      </c>
      <c r="D467" t="s">
        <v>419</v>
      </c>
      <c r="E467" s="1">
        <v>3036.5</v>
      </c>
      <c r="F467" s="1">
        <v>3036.5</v>
      </c>
      <c r="G467" s="1">
        <v>3036.5</v>
      </c>
    </row>
    <row r="468" spans="1:7" x14ac:dyDescent="0.3">
      <c r="A468" t="s">
        <v>411</v>
      </c>
      <c r="B468" t="s">
        <v>411</v>
      </c>
      <c r="C468" t="s">
        <v>13</v>
      </c>
      <c r="D468" t="s">
        <v>432</v>
      </c>
      <c r="E468" s="1">
        <v>2580</v>
      </c>
      <c r="F468" s="1">
        <v>2580</v>
      </c>
      <c r="G468" s="1">
        <v>2580</v>
      </c>
    </row>
    <row r="469" spans="1:7" x14ac:dyDescent="0.3">
      <c r="A469" t="s">
        <v>435</v>
      </c>
      <c r="B469" t="s">
        <v>435</v>
      </c>
      <c r="C469" t="s">
        <v>23</v>
      </c>
      <c r="D469" t="s">
        <v>436</v>
      </c>
      <c r="E469" s="1">
        <v>46714738.359999999</v>
      </c>
      <c r="F469" s="1">
        <v>46714738.359999999</v>
      </c>
      <c r="G469" s="1">
        <v>46714738.359999999</v>
      </c>
    </row>
    <row r="470" spans="1:7" x14ac:dyDescent="0.3">
      <c r="A470" t="s">
        <v>435</v>
      </c>
      <c r="B470" t="s">
        <v>435</v>
      </c>
      <c r="C470" t="s">
        <v>23</v>
      </c>
      <c r="D470" t="s">
        <v>437</v>
      </c>
      <c r="E470" s="1">
        <v>16669221.699999999</v>
      </c>
      <c r="F470" s="1">
        <v>16669221.699999999</v>
      </c>
      <c r="G470" s="1">
        <v>16669221.699999999</v>
      </c>
    </row>
    <row r="471" spans="1:7" x14ac:dyDescent="0.3">
      <c r="A471" t="s">
        <v>435</v>
      </c>
      <c r="B471" t="s">
        <v>435</v>
      </c>
      <c r="C471" t="s">
        <v>23</v>
      </c>
      <c r="D471" t="s">
        <v>438</v>
      </c>
      <c r="E471" s="1">
        <v>13443131.5</v>
      </c>
      <c r="F471" s="1">
        <v>13443131.5</v>
      </c>
      <c r="G471" s="1">
        <v>13443131.5</v>
      </c>
    </row>
    <row r="472" spans="1:7" x14ac:dyDescent="0.3">
      <c r="A472" t="s">
        <v>435</v>
      </c>
      <c r="B472" t="s">
        <v>435</v>
      </c>
      <c r="C472" t="s">
        <v>23</v>
      </c>
      <c r="D472" t="s">
        <v>439</v>
      </c>
      <c r="E472" s="1">
        <v>4891361</v>
      </c>
      <c r="F472" s="1">
        <v>4891361</v>
      </c>
      <c r="G472" s="1">
        <v>4891361</v>
      </c>
    </row>
    <row r="473" spans="1:7" x14ac:dyDescent="0.3">
      <c r="A473" t="s">
        <v>435</v>
      </c>
      <c r="B473" t="s">
        <v>435</v>
      </c>
      <c r="C473" t="s">
        <v>54</v>
      </c>
      <c r="D473" t="s">
        <v>437</v>
      </c>
      <c r="E473" s="1">
        <v>66667144.859999999</v>
      </c>
      <c r="F473" s="1">
        <v>66667144.859999999</v>
      </c>
      <c r="G473" s="1">
        <v>66667144.859999999</v>
      </c>
    </row>
    <row r="474" spans="1:7" x14ac:dyDescent="0.3">
      <c r="A474" t="s">
        <v>435</v>
      </c>
      <c r="B474" t="s">
        <v>435</v>
      </c>
      <c r="C474" t="s">
        <v>54</v>
      </c>
      <c r="D474" t="s">
        <v>440</v>
      </c>
      <c r="E474" s="1">
        <v>11722363.369999999</v>
      </c>
      <c r="F474" s="1">
        <v>11722363.369999999</v>
      </c>
      <c r="G474" s="1">
        <v>11722363.369999999</v>
      </c>
    </row>
    <row r="475" spans="1:7" x14ac:dyDescent="0.3">
      <c r="A475" t="s">
        <v>435</v>
      </c>
      <c r="B475" t="s">
        <v>435</v>
      </c>
      <c r="C475" t="s">
        <v>54</v>
      </c>
      <c r="D475" t="s">
        <v>441</v>
      </c>
      <c r="E475" s="1">
        <v>417155.76</v>
      </c>
      <c r="F475" s="1">
        <v>417155.76</v>
      </c>
      <c r="G475" s="1">
        <v>417155.76</v>
      </c>
    </row>
    <row r="476" spans="1:7" x14ac:dyDescent="0.3">
      <c r="A476" t="s">
        <v>435</v>
      </c>
      <c r="B476" t="s">
        <v>435</v>
      </c>
      <c r="C476" t="s">
        <v>26</v>
      </c>
      <c r="D476" t="s">
        <v>438</v>
      </c>
      <c r="E476" s="1">
        <v>20725990.149999999</v>
      </c>
      <c r="F476" s="1">
        <v>20725990.149999999</v>
      </c>
      <c r="G476" s="1">
        <v>20725990.149999999</v>
      </c>
    </row>
    <row r="477" spans="1:7" x14ac:dyDescent="0.3">
      <c r="A477" t="s">
        <v>435</v>
      </c>
      <c r="B477" t="s">
        <v>435</v>
      </c>
      <c r="C477" t="s">
        <v>26</v>
      </c>
      <c r="D477" t="s">
        <v>442</v>
      </c>
      <c r="E477" s="1">
        <v>13792240.02</v>
      </c>
      <c r="F477" s="1">
        <v>13792240.02</v>
      </c>
      <c r="G477" s="1">
        <v>13792240.02</v>
      </c>
    </row>
    <row r="478" spans="1:7" x14ac:dyDescent="0.3">
      <c r="A478" t="s">
        <v>435</v>
      </c>
      <c r="B478" t="s">
        <v>435</v>
      </c>
      <c r="C478" t="s">
        <v>26</v>
      </c>
      <c r="D478" t="s">
        <v>443</v>
      </c>
      <c r="E478" s="1">
        <v>11440000</v>
      </c>
      <c r="F478" s="1">
        <v>11440000</v>
      </c>
      <c r="G478" s="1">
        <v>11440000</v>
      </c>
    </row>
    <row r="479" spans="1:7" x14ac:dyDescent="0.3">
      <c r="A479" t="s">
        <v>435</v>
      </c>
      <c r="B479" t="s">
        <v>435</v>
      </c>
      <c r="C479" t="s">
        <v>26</v>
      </c>
      <c r="D479" t="s">
        <v>444</v>
      </c>
      <c r="E479" s="1">
        <v>9456338.2100000009</v>
      </c>
      <c r="F479" s="1">
        <v>9456338.2100000009</v>
      </c>
      <c r="G479" s="1">
        <v>9456338.2100000009</v>
      </c>
    </row>
    <row r="480" spans="1:7" x14ac:dyDescent="0.3">
      <c r="A480" t="s">
        <v>435</v>
      </c>
      <c r="B480" t="s">
        <v>435</v>
      </c>
      <c r="C480" t="s">
        <v>26</v>
      </c>
      <c r="D480" t="s">
        <v>445</v>
      </c>
      <c r="E480" s="1">
        <v>3579450</v>
      </c>
      <c r="F480" s="1">
        <v>3579450</v>
      </c>
      <c r="G480" s="1">
        <v>3579450</v>
      </c>
    </row>
    <row r="481" spans="1:7" x14ac:dyDescent="0.3">
      <c r="A481" t="s">
        <v>435</v>
      </c>
      <c r="B481" t="s">
        <v>435</v>
      </c>
      <c r="C481" t="s">
        <v>26</v>
      </c>
      <c r="D481" t="s">
        <v>437</v>
      </c>
      <c r="E481" s="1">
        <v>1215445.82</v>
      </c>
      <c r="F481" s="1">
        <v>1215445.82</v>
      </c>
      <c r="G481" s="1">
        <v>1215445.82</v>
      </c>
    </row>
    <row r="482" spans="1:7" x14ac:dyDescent="0.3">
      <c r="A482" t="s">
        <v>435</v>
      </c>
      <c r="B482" t="s">
        <v>435</v>
      </c>
      <c r="C482" t="s">
        <v>26</v>
      </c>
      <c r="D482" t="s">
        <v>446</v>
      </c>
      <c r="E482" s="1">
        <v>772995.17</v>
      </c>
      <c r="F482" s="1">
        <v>772995.17</v>
      </c>
      <c r="G482" s="1">
        <v>772995.17</v>
      </c>
    </row>
    <row r="483" spans="1:7" x14ac:dyDescent="0.3">
      <c r="A483" t="s">
        <v>435</v>
      </c>
      <c r="B483" t="s">
        <v>435</v>
      </c>
      <c r="C483" t="s">
        <v>26</v>
      </c>
      <c r="D483" t="s">
        <v>447</v>
      </c>
      <c r="E483" s="1">
        <v>480552</v>
      </c>
      <c r="F483" s="1">
        <v>480552</v>
      </c>
      <c r="G483" s="1">
        <v>480552</v>
      </c>
    </row>
    <row r="484" spans="1:7" x14ac:dyDescent="0.3">
      <c r="A484" t="s">
        <v>435</v>
      </c>
      <c r="B484" t="s">
        <v>435</v>
      </c>
      <c r="C484" t="s">
        <v>26</v>
      </c>
      <c r="D484" t="s">
        <v>448</v>
      </c>
      <c r="E484" s="1">
        <v>399224.97</v>
      </c>
      <c r="F484" s="1">
        <v>399224.97</v>
      </c>
      <c r="G484" s="1">
        <v>399224.97</v>
      </c>
    </row>
    <row r="485" spans="1:7" x14ac:dyDescent="0.3">
      <c r="A485" t="s">
        <v>435</v>
      </c>
      <c r="B485" t="s">
        <v>435</v>
      </c>
      <c r="C485" t="s">
        <v>26</v>
      </c>
      <c r="D485" t="s">
        <v>449</v>
      </c>
      <c r="E485" s="1">
        <v>341462</v>
      </c>
      <c r="F485" s="1">
        <v>341462</v>
      </c>
      <c r="G485" s="1">
        <v>341462</v>
      </c>
    </row>
    <row r="486" spans="1:7" x14ac:dyDescent="0.3">
      <c r="A486" t="s">
        <v>435</v>
      </c>
      <c r="B486" t="s">
        <v>435</v>
      </c>
      <c r="C486" t="s">
        <v>26</v>
      </c>
      <c r="D486" t="s">
        <v>450</v>
      </c>
      <c r="E486" s="1">
        <v>224430.32</v>
      </c>
      <c r="F486" s="1">
        <v>224430.32</v>
      </c>
      <c r="G486" s="1">
        <v>224430.32</v>
      </c>
    </row>
    <row r="487" spans="1:7" x14ac:dyDescent="0.3">
      <c r="A487" t="s">
        <v>435</v>
      </c>
      <c r="B487" t="s">
        <v>435</v>
      </c>
      <c r="C487" t="s">
        <v>26</v>
      </c>
      <c r="D487" t="s">
        <v>451</v>
      </c>
      <c r="E487" s="1">
        <v>208662.05</v>
      </c>
      <c r="F487" s="1">
        <v>208662.05</v>
      </c>
      <c r="G487" s="1">
        <v>208662.05</v>
      </c>
    </row>
    <row r="488" spans="1:7" x14ac:dyDescent="0.3">
      <c r="A488" t="s">
        <v>435</v>
      </c>
      <c r="B488" t="s">
        <v>435</v>
      </c>
      <c r="C488" t="s">
        <v>26</v>
      </c>
      <c r="D488" t="s">
        <v>452</v>
      </c>
      <c r="E488" s="1">
        <v>205916.93</v>
      </c>
      <c r="F488" s="1">
        <v>205916.93</v>
      </c>
      <c r="G488" s="1">
        <v>205916.93</v>
      </c>
    </row>
    <row r="489" spans="1:7" x14ac:dyDescent="0.3">
      <c r="A489" t="s">
        <v>435</v>
      </c>
      <c r="B489" t="s">
        <v>435</v>
      </c>
      <c r="C489" t="s">
        <v>26</v>
      </c>
      <c r="D489" t="s">
        <v>453</v>
      </c>
      <c r="E489" s="1">
        <v>198974.55</v>
      </c>
      <c r="F489" s="1">
        <v>198974.55</v>
      </c>
      <c r="G489" s="1">
        <v>198974.55</v>
      </c>
    </row>
    <row r="490" spans="1:7" x14ac:dyDescent="0.3">
      <c r="A490" t="s">
        <v>435</v>
      </c>
      <c r="B490" t="s">
        <v>435</v>
      </c>
      <c r="C490" t="s">
        <v>26</v>
      </c>
      <c r="D490" t="s">
        <v>454</v>
      </c>
      <c r="E490" s="1">
        <v>148000</v>
      </c>
      <c r="F490" s="1">
        <v>148000</v>
      </c>
      <c r="G490" s="1">
        <v>148000</v>
      </c>
    </row>
    <row r="491" spans="1:7" x14ac:dyDescent="0.3">
      <c r="A491" t="s">
        <v>435</v>
      </c>
      <c r="B491" t="s">
        <v>435</v>
      </c>
      <c r="C491" t="s">
        <v>26</v>
      </c>
      <c r="D491" t="s">
        <v>455</v>
      </c>
      <c r="E491" s="1">
        <v>95538.99</v>
      </c>
      <c r="F491" s="1">
        <v>95538.99</v>
      </c>
      <c r="G491" s="1">
        <v>95538.99</v>
      </c>
    </row>
    <row r="492" spans="1:7" x14ac:dyDescent="0.3">
      <c r="A492" t="s">
        <v>435</v>
      </c>
      <c r="B492" t="s">
        <v>435</v>
      </c>
      <c r="C492" t="s">
        <v>26</v>
      </c>
      <c r="D492" t="s">
        <v>456</v>
      </c>
      <c r="E492" s="1">
        <v>55001.97</v>
      </c>
      <c r="F492" s="1">
        <v>55001.97</v>
      </c>
      <c r="G492" s="1">
        <v>55001.97</v>
      </c>
    </row>
    <row r="493" spans="1:7" x14ac:dyDescent="0.3">
      <c r="A493" t="s">
        <v>435</v>
      </c>
      <c r="B493" t="s">
        <v>435</v>
      </c>
      <c r="C493" t="s">
        <v>26</v>
      </c>
      <c r="D493" t="s">
        <v>457</v>
      </c>
      <c r="E493" s="1">
        <v>53099.38</v>
      </c>
      <c r="F493" s="1">
        <v>53099.38</v>
      </c>
      <c r="G493" s="1">
        <v>53099.38</v>
      </c>
    </row>
    <row r="494" spans="1:7" x14ac:dyDescent="0.3">
      <c r="A494" t="s">
        <v>435</v>
      </c>
      <c r="B494" t="s">
        <v>435</v>
      </c>
      <c r="C494" t="s">
        <v>26</v>
      </c>
      <c r="D494" t="s">
        <v>76</v>
      </c>
      <c r="E494" s="1">
        <v>48985.48</v>
      </c>
      <c r="F494" s="1">
        <v>48985.48</v>
      </c>
      <c r="G494" s="1">
        <v>48985.48</v>
      </c>
    </row>
    <row r="495" spans="1:7" x14ac:dyDescent="0.3">
      <c r="A495" t="s">
        <v>435</v>
      </c>
      <c r="B495" t="s">
        <v>435</v>
      </c>
      <c r="C495" t="s">
        <v>26</v>
      </c>
      <c r="D495" t="s">
        <v>458</v>
      </c>
      <c r="E495" s="1">
        <v>36342.239999999998</v>
      </c>
      <c r="F495" s="1">
        <v>36342.239999999998</v>
      </c>
      <c r="G495" s="1">
        <v>36342.239999999998</v>
      </c>
    </row>
    <row r="496" spans="1:7" x14ac:dyDescent="0.3">
      <c r="A496" t="s">
        <v>435</v>
      </c>
      <c r="B496" t="s">
        <v>435</v>
      </c>
      <c r="C496" t="s">
        <v>22</v>
      </c>
      <c r="D496" t="s">
        <v>433</v>
      </c>
      <c r="E496" s="1">
        <v>44191585.219999999</v>
      </c>
      <c r="F496" s="1">
        <v>44191585.219999999</v>
      </c>
      <c r="G496" s="1">
        <v>44191585.219999999</v>
      </c>
    </row>
    <row r="497" spans="1:7" x14ac:dyDescent="0.3">
      <c r="A497" t="s">
        <v>435</v>
      </c>
      <c r="B497" t="s">
        <v>435</v>
      </c>
      <c r="C497" t="s">
        <v>22</v>
      </c>
      <c r="D497" t="s">
        <v>459</v>
      </c>
      <c r="E497" s="1">
        <v>9209537.5</v>
      </c>
      <c r="F497" s="1">
        <v>9209537.5</v>
      </c>
      <c r="G497" s="1">
        <v>9209537.5</v>
      </c>
    </row>
    <row r="498" spans="1:7" x14ac:dyDescent="0.3">
      <c r="A498" t="s">
        <v>435</v>
      </c>
      <c r="B498" t="s">
        <v>435</v>
      </c>
      <c r="C498" t="s">
        <v>22</v>
      </c>
      <c r="D498" t="s">
        <v>437</v>
      </c>
      <c r="E498" s="1">
        <v>4905060.16</v>
      </c>
      <c r="F498" s="1">
        <v>4905060.16</v>
      </c>
      <c r="G498" s="1">
        <v>4905060.16</v>
      </c>
    </row>
    <row r="499" spans="1:7" x14ac:dyDescent="0.3">
      <c r="A499" t="s">
        <v>435</v>
      </c>
      <c r="B499" t="s">
        <v>435</v>
      </c>
      <c r="C499" t="s">
        <v>22</v>
      </c>
      <c r="D499" t="s">
        <v>460</v>
      </c>
      <c r="E499" s="1">
        <v>1751928</v>
      </c>
      <c r="F499" s="1">
        <v>1751928</v>
      </c>
      <c r="G499" s="1">
        <v>1751928</v>
      </c>
    </row>
    <row r="500" spans="1:7" x14ac:dyDescent="0.3">
      <c r="A500" t="s">
        <v>435</v>
      </c>
      <c r="B500" t="s">
        <v>435</v>
      </c>
      <c r="C500" t="s">
        <v>22</v>
      </c>
      <c r="D500" t="s">
        <v>461</v>
      </c>
      <c r="E500" s="1">
        <v>1596275.2</v>
      </c>
      <c r="F500" s="1">
        <v>1596275.2</v>
      </c>
      <c r="G500" s="1">
        <v>1596275.2</v>
      </c>
    </row>
    <row r="501" spans="1:7" x14ac:dyDescent="0.3">
      <c r="A501" t="s">
        <v>435</v>
      </c>
      <c r="B501" t="s">
        <v>435</v>
      </c>
      <c r="C501" t="s">
        <v>22</v>
      </c>
      <c r="D501" t="s">
        <v>462</v>
      </c>
      <c r="E501" s="1">
        <v>1105167.3</v>
      </c>
      <c r="F501" s="1">
        <v>1105167.3</v>
      </c>
      <c r="G501" s="1">
        <v>1105167.3</v>
      </c>
    </row>
    <row r="502" spans="1:7" x14ac:dyDescent="0.3">
      <c r="A502" t="s">
        <v>435</v>
      </c>
      <c r="B502" t="s">
        <v>435</v>
      </c>
      <c r="C502" t="s">
        <v>8</v>
      </c>
      <c r="D502" t="s">
        <v>463</v>
      </c>
      <c r="E502" s="1">
        <v>40262640</v>
      </c>
      <c r="F502" s="1">
        <v>40262640</v>
      </c>
      <c r="G502" s="1">
        <v>40262640</v>
      </c>
    </row>
    <row r="503" spans="1:7" x14ac:dyDescent="0.3">
      <c r="A503" t="s">
        <v>435</v>
      </c>
      <c r="B503" t="s">
        <v>435</v>
      </c>
      <c r="C503" t="s">
        <v>8</v>
      </c>
      <c r="D503" t="s">
        <v>361</v>
      </c>
      <c r="E503" s="1">
        <v>10459650</v>
      </c>
      <c r="F503" s="1">
        <v>10459650</v>
      </c>
      <c r="G503" s="1">
        <v>10459650</v>
      </c>
    </row>
    <row r="504" spans="1:7" x14ac:dyDescent="0.3">
      <c r="A504" t="s">
        <v>435</v>
      </c>
      <c r="B504" t="s">
        <v>435</v>
      </c>
      <c r="C504" t="s">
        <v>8</v>
      </c>
      <c r="D504" t="s">
        <v>464</v>
      </c>
      <c r="E504" s="1">
        <v>1001600</v>
      </c>
      <c r="F504" s="1">
        <v>1001600</v>
      </c>
      <c r="G504" s="1">
        <v>1001600</v>
      </c>
    </row>
    <row r="505" spans="1:7" x14ac:dyDescent="0.3">
      <c r="A505" t="s">
        <v>435</v>
      </c>
      <c r="B505" t="s">
        <v>435</v>
      </c>
      <c r="C505" t="s">
        <v>8</v>
      </c>
      <c r="D505" t="s">
        <v>465</v>
      </c>
      <c r="E505" s="1">
        <v>497200</v>
      </c>
      <c r="F505" s="1">
        <v>497200</v>
      </c>
      <c r="G505" s="1">
        <v>497200</v>
      </c>
    </row>
    <row r="506" spans="1:7" x14ac:dyDescent="0.3">
      <c r="A506" t="s">
        <v>435</v>
      </c>
      <c r="B506" t="s">
        <v>435</v>
      </c>
      <c r="C506" t="s">
        <v>8</v>
      </c>
      <c r="D506" t="s">
        <v>466</v>
      </c>
      <c r="E506" s="1">
        <v>395450</v>
      </c>
      <c r="F506" s="1">
        <v>395450</v>
      </c>
      <c r="G506" s="1">
        <v>395450</v>
      </c>
    </row>
    <row r="507" spans="1:7" x14ac:dyDescent="0.3">
      <c r="A507" t="s">
        <v>435</v>
      </c>
      <c r="B507" t="s">
        <v>435</v>
      </c>
      <c r="C507" t="s">
        <v>27</v>
      </c>
      <c r="D507" t="s">
        <v>460</v>
      </c>
      <c r="E507" s="1">
        <v>12701225.41</v>
      </c>
      <c r="F507" s="1">
        <v>12701225.41</v>
      </c>
      <c r="G507" s="1">
        <v>12701225.41</v>
      </c>
    </row>
    <row r="508" spans="1:7" x14ac:dyDescent="0.3">
      <c r="A508" t="s">
        <v>435</v>
      </c>
      <c r="B508" t="s">
        <v>435</v>
      </c>
      <c r="C508" t="s">
        <v>27</v>
      </c>
      <c r="D508" t="s">
        <v>467</v>
      </c>
      <c r="E508" s="1">
        <v>12408944.949999999</v>
      </c>
      <c r="F508" s="1">
        <v>12408944.949999999</v>
      </c>
      <c r="G508" s="1">
        <v>12408944.949999999</v>
      </c>
    </row>
    <row r="509" spans="1:7" x14ac:dyDescent="0.3">
      <c r="A509" t="s">
        <v>435</v>
      </c>
      <c r="B509" t="s">
        <v>435</v>
      </c>
      <c r="C509" t="s">
        <v>27</v>
      </c>
      <c r="D509" t="s">
        <v>468</v>
      </c>
      <c r="E509" s="1">
        <v>11884164.689999999</v>
      </c>
      <c r="F509" s="1">
        <v>11884164.689999999</v>
      </c>
      <c r="G509" s="1">
        <v>11884164.689999999</v>
      </c>
    </row>
    <row r="510" spans="1:7" x14ac:dyDescent="0.3">
      <c r="A510" t="s">
        <v>435</v>
      </c>
      <c r="B510" t="s">
        <v>435</v>
      </c>
      <c r="C510" t="s">
        <v>27</v>
      </c>
      <c r="D510" t="s">
        <v>437</v>
      </c>
      <c r="E510" s="1">
        <v>10673256.449999999</v>
      </c>
      <c r="F510" s="1">
        <v>10673256.449999999</v>
      </c>
      <c r="G510" s="1">
        <v>10673256.449999999</v>
      </c>
    </row>
    <row r="511" spans="1:7" x14ac:dyDescent="0.3">
      <c r="A511" t="s">
        <v>435</v>
      </c>
      <c r="B511" t="s">
        <v>435</v>
      </c>
      <c r="C511" t="s">
        <v>27</v>
      </c>
      <c r="D511" t="s">
        <v>469</v>
      </c>
      <c r="E511" s="1">
        <v>2256693.2599999998</v>
      </c>
      <c r="F511" s="1">
        <v>2256693.2599999998</v>
      </c>
      <c r="G511" s="1">
        <v>2256693.2599999998</v>
      </c>
    </row>
    <row r="512" spans="1:7" x14ac:dyDescent="0.3">
      <c r="A512" t="s">
        <v>435</v>
      </c>
      <c r="B512" t="s">
        <v>435</v>
      </c>
      <c r="C512" t="s">
        <v>33</v>
      </c>
      <c r="D512" t="s">
        <v>470</v>
      </c>
      <c r="E512" s="1">
        <v>38168153</v>
      </c>
      <c r="F512" s="1">
        <v>38168153</v>
      </c>
      <c r="G512" s="1">
        <v>38168153</v>
      </c>
    </row>
    <row r="513" spans="1:7" x14ac:dyDescent="0.3">
      <c r="A513" t="s">
        <v>435</v>
      </c>
      <c r="B513" t="s">
        <v>435</v>
      </c>
      <c r="C513" t="s">
        <v>33</v>
      </c>
      <c r="D513" t="s">
        <v>471</v>
      </c>
      <c r="E513" s="1">
        <v>6275283</v>
      </c>
      <c r="F513" s="1">
        <v>6275283</v>
      </c>
      <c r="G513" s="1">
        <v>6275283</v>
      </c>
    </row>
    <row r="514" spans="1:7" x14ac:dyDescent="0.3">
      <c r="A514" t="s">
        <v>435</v>
      </c>
      <c r="B514" t="s">
        <v>435</v>
      </c>
      <c r="C514" t="s">
        <v>33</v>
      </c>
      <c r="D514" t="s">
        <v>467</v>
      </c>
      <c r="E514" s="1">
        <v>2408524</v>
      </c>
      <c r="F514" s="1">
        <v>2408524</v>
      </c>
      <c r="G514" s="1">
        <v>2408524</v>
      </c>
    </row>
    <row r="515" spans="1:7" x14ac:dyDescent="0.3">
      <c r="A515" t="s">
        <v>435</v>
      </c>
      <c r="B515" t="s">
        <v>435</v>
      </c>
      <c r="C515" t="s">
        <v>21</v>
      </c>
      <c r="D515" t="s">
        <v>472</v>
      </c>
      <c r="E515" s="1">
        <v>9032812.6400000006</v>
      </c>
      <c r="F515" s="1">
        <v>9032812.6400000006</v>
      </c>
      <c r="G515" s="1">
        <v>9032812.6400000006</v>
      </c>
    </row>
    <row r="516" spans="1:7" x14ac:dyDescent="0.3">
      <c r="A516" t="s">
        <v>435</v>
      </c>
      <c r="B516" t="s">
        <v>435</v>
      </c>
      <c r="C516" t="s">
        <v>21</v>
      </c>
      <c r="D516" t="s">
        <v>473</v>
      </c>
      <c r="E516" s="1">
        <v>6892018.4699999997</v>
      </c>
      <c r="F516" s="1">
        <v>6892018.4699999997</v>
      </c>
      <c r="G516" s="1">
        <v>6892018.4699999997</v>
      </c>
    </row>
    <row r="517" spans="1:7" x14ac:dyDescent="0.3">
      <c r="A517" t="s">
        <v>435</v>
      </c>
      <c r="B517" t="s">
        <v>435</v>
      </c>
      <c r="C517" t="s">
        <v>21</v>
      </c>
      <c r="D517" t="s">
        <v>474</v>
      </c>
      <c r="E517" s="1">
        <v>2822992.47</v>
      </c>
      <c r="F517" s="1">
        <v>2822992.47</v>
      </c>
      <c r="G517" s="1">
        <v>2822992.47</v>
      </c>
    </row>
    <row r="518" spans="1:7" x14ac:dyDescent="0.3">
      <c r="A518" t="s">
        <v>435</v>
      </c>
      <c r="B518" t="s">
        <v>435</v>
      </c>
      <c r="C518" t="s">
        <v>21</v>
      </c>
      <c r="D518" t="s">
        <v>471</v>
      </c>
      <c r="E518" s="1">
        <v>1369776.84</v>
      </c>
      <c r="F518" s="1">
        <v>1369776.84</v>
      </c>
      <c r="G518" s="1">
        <v>1369776.84</v>
      </c>
    </row>
    <row r="519" spans="1:7" x14ac:dyDescent="0.3">
      <c r="A519" t="s">
        <v>435</v>
      </c>
      <c r="B519" t="s">
        <v>435</v>
      </c>
      <c r="C519" t="s">
        <v>21</v>
      </c>
      <c r="D519" t="s">
        <v>433</v>
      </c>
      <c r="E519" s="1">
        <v>824386.54</v>
      </c>
      <c r="F519" s="1">
        <v>824386.54</v>
      </c>
      <c r="G519" s="1">
        <v>824386.54</v>
      </c>
    </row>
    <row r="520" spans="1:7" x14ac:dyDescent="0.3">
      <c r="A520" t="s">
        <v>435</v>
      </c>
      <c r="B520" t="s">
        <v>435</v>
      </c>
      <c r="C520" t="s">
        <v>21</v>
      </c>
      <c r="D520" t="s">
        <v>475</v>
      </c>
      <c r="E520" s="1">
        <v>653705.82999999996</v>
      </c>
      <c r="F520" s="1">
        <v>653705.82999999996</v>
      </c>
      <c r="G520" s="1">
        <v>653705.82999999996</v>
      </c>
    </row>
    <row r="521" spans="1:7" x14ac:dyDescent="0.3">
      <c r="A521" t="s">
        <v>435</v>
      </c>
      <c r="B521" t="s">
        <v>435</v>
      </c>
      <c r="C521" t="s">
        <v>21</v>
      </c>
      <c r="D521" t="s">
        <v>476</v>
      </c>
      <c r="E521" s="1">
        <v>586045.80000000005</v>
      </c>
      <c r="F521" s="1">
        <v>586045.80000000005</v>
      </c>
      <c r="G521" s="1">
        <v>586045.80000000005</v>
      </c>
    </row>
    <row r="522" spans="1:7" x14ac:dyDescent="0.3">
      <c r="A522" t="s">
        <v>435</v>
      </c>
      <c r="B522" t="s">
        <v>435</v>
      </c>
      <c r="C522" t="s">
        <v>21</v>
      </c>
      <c r="D522" t="s">
        <v>477</v>
      </c>
      <c r="E522" s="1">
        <v>396972.22</v>
      </c>
      <c r="F522" s="1">
        <v>396972.22</v>
      </c>
      <c r="G522" s="1">
        <v>396972.22</v>
      </c>
    </row>
    <row r="523" spans="1:7" x14ac:dyDescent="0.3">
      <c r="A523" t="s">
        <v>435</v>
      </c>
      <c r="B523" t="s">
        <v>435</v>
      </c>
      <c r="C523" t="s">
        <v>21</v>
      </c>
      <c r="D523" t="s">
        <v>478</v>
      </c>
      <c r="E523" s="1">
        <v>163283.5</v>
      </c>
      <c r="F523" s="1">
        <v>163283.5</v>
      </c>
      <c r="G523" s="1">
        <v>163283.5</v>
      </c>
    </row>
    <row r="524" spans="1:7" x14ac:dyDescent="0.3">
      <c r="A524" t="s">
        <v>435</v>
      </c>
      <c r="B524" t="s">
        <v>435</v>
      </c>
      <c r="C524" t="s">
        <v>21</v>
      </c>
      <c r="D524" t="s">
        <v>479</v>
      </c>
      <c r="E524" s="1">
        <v>88723.02</v>
      </c>
      <c r="F524" s="1">
        <v>88723.02</v>
      </c>
      <c r="G524" s="1">
        <v>88723.02</v>
      </c>
    </row>
    <row r="525" spans="1:7" x14ac:dyDescent="0.3">
      <c r="A525" t="s">
        <v>435</v>
      </c>
      <c r="B525" t="s">
        <v>435</v>
      </c>
      <c r="C525" t="s">
        <v>19</v>
      </c>
      <c r="D525" t="s">
        <v>61</v>
      </c>
      <c r="E525" s="1">
        <v>13990907.140000001</v>
      </c>
      <c r="F525" s="1">
        <v>13990907.140000001</v>
      </c>
      <c r="G525" s="1">
        <v>13990907.140000001</v>
      </c>
    </row>
    <row r="526" spans="1:7" x14ac:dyDescent="0.3">
      <c r="A526" t="s">
        <v>435</v>
      </c>
      <c r="B526" t="s">
        <v>435</v>
      </c>
      <c r="C526" t="s">
        <v>19</v>
      </c>
      <c r="D526" t="s">
        <v>480</v>
      </c>
      <c r="E526" s="1">
        <v>1295212.55</v>
      </c>
      <c r="F526" s="1">
        <v>1295212.55</v>
      </c>
      <c r="G526" s="1">
        <v>1295212.55</v>
      </c>
    </row>
    <row r="527" spans="1:7" x14ac:dyDescent="0.3">
      <c r="A527" t="s">
        <v>435</v>
      </c>
      <c r="B527" t="s">
        <v>435</v>
      </c>
      <c r="C527" t="s">
        <v>19</v>
      </c>
      <c r="D527" t="s">
        <v>481</v>
      </c>
      <c r="E527" s="1">
        <v>884353.68</v>
      </c>
      <c r="F527" s="1">
        <v>884353.68</v>
      </c>
      <c r="G527" s="1">
        <v>884353.68</v>
      </c>
    </row>
    <row r="528" spans="1:7" x14ac:dyDescent="0.3">
      <c r="A528" t="s">
        <v>435</v>
      </c>
      <c r="B528" t="s">
        <v>435</v>
      </c>
      <c r="C528" t="s">
        <v>19</v>
      </c>
      <c r="D528" t="s">
        <v>482</v>
      </c>
      <c r="E528" s="1">
        <v>266651.12</v>
      </c>
      <c r="F528" s="1">
        <v>266651.12</v>
      </c>
      <c r="G528" s="1">
        <v>266651.12</v>
      </c>
    </row>
    <row r="529" spans="1:7" x14ac:dyDescent="0.3">
      <c r="A529" t="s">
        <v>435</v>
      </c>
      <c r="B529" t="s">
        <v>435</v>
      </c>
      <c r="C529" t="s">
        <v>19</v>
      </c>
      <c r="D529" t="s">
        <v>74</v>
      </c>
      <c r="E529" s="1">
        <v>2160</v>
      </c>
      <c r="F529" s="1">
        <v>2160</v>
      </c>
      <c r="G529" s="1">
        <v>2160</v>
      </c>
    </row>
    <row r="530" spans="1:7" x14ac:dyDescent="0.3">
      <c r="A530" t="s">
        <v>435</v>
      </c>
      <c r="B530" t="s">
        <v>435</v>
      </c>
      <c r="C530" t="s">
        <v>28</v>
      </c>
      <c r="D530" t="s">
        <v>483</v>
      </c>
      <c r="E530" s="1">
        <v>10766673.1</v>
      </c>
      <c r="F530" s="1">
        <v>10766673.1</v>
      </c>
      <c r="G530" s="1">
        <v>10766673.1</v>
      </c>
    </row>
    <row r="531" spans="1:7" x14ac:dyDescent="0.3">
      <c r="A531" t="s">
        <v>435</v>
      </c>
      <c r="B531" t="s">
        <v>435</v>
      </c>
      <c r="C531" t="s">
        <v>28</v>
      </c>
      <c r="D531" t="s">
        <v>484</v>
      </c>
      <c r="E531" s="1">
        <v>4628390.8600000003</v>
      </c>
      <c r="F531" s="1">
        <v>4628390.8600000003</v>
      </c>
      <c r="G531" s="1">
        <v>4628390.8600000003</v>
      </c>
    </row>
    <row r="532" spans="1:7" x14ac:dyDescent="0.3">
      <c r="A532" t="s">
        <v>435</v>
      </c>
      <c r="B532" t="s">
        <v>435</v>
      </c>
      <c r="C532" t="s">
        <v>56</v>
      </c>
      <c r="D532" t="s">
        <v>438</v>
      </c>
      <c r="E532" s="1">
        <v>6241832.4400000004</v>
      </c>
      <c r="F532" s="1">
        <v>6241832.4400000004</v>
      </c>
      <c r="G532" s="1">
        <v>6241832.4400000004</v>
      </c>
    </row>
    <row r="533" spans="1:7" x14ac:dyDescent="0.3">
      <c r="A533" t="s">
        <v>435</v>
      </c>
      <c r="B533" t="s">
        <v>435</v>
      </c>
      <c r="C533" t="s">
        <v>56</v>
      </c>
      <c r="D533" t="s">
        <v>437</v>
      </c>
      <c r="E533" s="1">
        <v>4814493.0999999996</v>
      </c>
      <c r="F533" s="1">
        <v>4814493.0999999996</v>
      </c>
      <c r="G533" s="1">
        <v>4814493.0999999996</v>
      </c>
    </row>
    <row r="534" spans="1:7" x14ac:dyDescent="0.3">
      <c r="A534" t="s">
        <v>435</v>
      </c>
      <c r="B534" t="s">
        <v>435</v>
      </c>
      <c r="C534" t="s">
        <v>18</v>
      </c>
      <c r="D534" t="s">
        <v>470</v>
      </c>
      <c r="E534" s="1">
        <v>1949879.1</v>
      </c>
      <c r="F534" s="1">
        <v>1949879.1</v>
      </c>
      <c r="G534" s="1">
        <v>1949879.1</v>
      </c>
    </row>
    <row r="535" spans="1:7" x14ac:dyDescent="0.3">
      <c r="A535" t="s">
        <v>435</v>
      </c>
      <c r="B535" t="s">
        <v>435</v>
      </c>
      <c r="C535" t="s">
        <v>18</v>
      </c>
      <c r="D535" t="s">
        <v>438</v>
      </c>
      <c r="E535" s="1">
        <v>1895848.14</v>
      </c>
      <c r="F535" s="1">
        <v>1895848.14</v>
      </c>
      <c r="G535" s="1">
        <v>1895848.14</v>
      </c>
    </row>
    <row r="536" spans="1:7" x14ac:dyDescent="0.3">
      <c r="A536" t="s">
        <v>435</v>
      </c>
      <c r="B536" t="s">
        <v>435</v>
      </c>
      <c r="C536" t="s">
        <v>18</v>
      </c>
      <c r="D536" t="s">
        <v>433</v>
      </c>
      <c r="E536" s="1">
        <v>505518.06</v>
      </c>
      <c r="F536" s="1">
        <v>505518.06</v>
      </c>
      <c r="G536" s="1">
        <v>505518.06</v>
      </c>
    </row>
    <row r="537" spans="1:7" x14ac:dyDescent="0.3">
      <c r="A537" t="s">
        <v>435</v>
      </c>
      <c r="B537" t="s">
        <v>435</v>
      </c>
      <c r="C537" t="s">
        <v>18</v>
      </c>
      <c r="D537" t="s">
        <v>485</v>
      </c>
      <c r="E537" s="1">
        <v>328860</v>
      </c>
      <c r="F537" s="1">
        <v>328860</v>
      </c>
      <c r="G537" s="1">
        <v>328860</v>
      </c>
    </row>
    <row r="538" spans="1:7" x14ac:dyDescent="0.3">
      <c r="A538" t="s">
        <v>435</v>
      </c>
      <c r="B538" t="s">
        <v>435</v>
      </c>
      <c r="C538" t="s">
        <v>18</v>
      </c>
      <c r="D538" t="s">
        <v>454</v>
      </c>
      <c r="E538" s="1">
        <v>297640.7</v>
      </c>
      <c r="F538" s="1">
        <v>297640.7</v>
      </c>
      <c r="G538" s="1">
        <v>297640.7</v>
      </c>
    </row>
    <row r="539" spans="1:7" x14ac:dyDescent="0.3">
      <c r="A539" t="s">
        <v>435</v>
      </c>
      <c r="B539" t="s">
        <v>435</v>
      </c>
      <c r="C539" t="s">
        <v>18</v>
      </c>
      <c r="D539" t="s">
        <v>460</v>
      </c>
      <c r="E539" s="1">
        <v>246825.07</v>
      </c>
      <c r="F539" s="1">
        <v>246825.07</v>
      </c>
      <c r="G539" s="1">
        <v>246825.07</v>
      </c>
    </row>
    <row r="540" spans="1:7" x14ac:dyDescent="0.3">
      <c r="A540" t="s">
        <v>435</v>
      </c>
      <c r="B540" t="s">
        <v>435</v>
      </c>
      <c r="C540" t="s">
        <v>18</v>
      </c>
      <c r="D540" t="s">
        <v>486</v>
      </c>
      <c r="E540" s="1">
        <v>218659.9</v>
      </c>
      <c r="F540" s="1">
        <v>218659.9</v>
      </c>
      <c r="G540" s="1">
        <v>218659.9</v>
      </c>
    </row>
    <row r="541" spans="1:7" x14ac:dyDescent="0.3">
      <c r="A541" t="s">
        <v>435</v>
      </c>
      <c r="B541" t="s">
        <v>435</v>
      </c>
      <c r="C541" t="s">
        <v>18</v>
      </c>
      <c r="D541" t="s">
        <v>478</v>
      </c>
      <c r="E541" s="1">
        <v>175255.33</v>
      </c>
      <c r="F541" s="1">
        <v>175255.33</v>
      </c>
      <c r="G541" s="1">
        <v>175255.33</v>
      </c>
    </row>
    <row r="542" spans="1:7" x14ac:dyDescent="0.3">
      <c r="A542" t="s">
        <v>435</v>
      </c>
      <c r="B542" t="s">
        <v>435</v>
      </c>
      <c r="C542" t="s">
        <v>18</v>
      </c>
      <c r="D542" t="s">
        <v>483</v>
      </c>
      <c r="E542" s="1">
        <v>145204.95000000001</v>
      </c>
      <c r="F542" s="1">
        <v>145204.95000000001</v>
      </c>
      <c r="G542" s="1">
        <v>145204.95000000001</v>
      </c>
    </row>
    <row r="543" spans="1:7" x14ac:dyDescent="0.3">
      <c r="A543" t="s">
        <v>435</v>
      </c>
      <c r="B543" t="s">
        <v>435</v>
      </c>
      <c r="C543" t="s">
        <v>18</v>
      </c>
      <c r="D543" t="s">
        <v>487</v>
      </c>
      <c r="E543" s="1">
        <v>100052.18</v>
      </c>
      <c r="F543" s="1">
        <v>100052.18</v>
      </c>
      <c r="G543" s="1">
        <v>100052.18</v>
      </c>
    </row>
    <row r="544" spans="1:7" x14ac:dyDescent="0.3">
      <c r="A544" t="s">
        <v>435</v>
      </c>
      <c r="B544" t="s">
        <v>435</v>
      </c>
      <c r="C544" t="s">
        <v>18</v>
      </c>
      <c r="D544" t="s">
        <v>488</v>
      </c>
      <c r="E544" s="1">
        <v>85651.14</v>
      </c>
      <c r="F544" s="1">
        <v>85651.14</v>
      </c>
      <c r="G544" s="1">
        <v>85651.14</v>
      </c>
    </row>
    <row r="545" spans="1:7" x14ac:dyDescent="0.3">
      <c r="A545" t="s">
        <v>435</v>
      </c>
      <c r="B545" t="s">
        <v>435</v>
      </c>
      <c r="C545" t="s">
        <v>18</v>
      </c>
      <c r="D545" t="s">
        <v>489</v>
      </c>
      <c r="E545" s="1">
        <v>69034</v>
      </c>
      <c r="F545" s="1">
        <v>69034</v>
      </c>
      <c r="G545" s="1">
        <v>69034</v>
      </c>
    </row>
    <row r="546" spans="1:7" x14ac:dyDescent="0.3">
      <c r="A546" t="s">
        <v>435</v>
      </c>
      <c r="B546" t="s">
        <v>435</v>
      </c>
      <c r="C546" t="s">
        <v>18</v>
      </c>
      <c r="D546" t="s">
        <v>490</v>
      </c>
      <c r="E546" s="1">
        <v>17210</v>
      </c>
      <c r="F546" s="1">
        <v>17210</v>
      </c>
      <c r="G546" s="1">
        <v>17210</v>
      </c>
    </row>
    <row r="547" spans="1:7" x14ac:dyDescent="0.3">
      <c r="A547" t="s">
        <v>435</v>
      </c>
      <c r="B547" t="s">
        <v>435</v>
      </c>
      <c r="C547" t="s">
        <v>18</v>
      </c>
      <c r="D547" t="s">
        <v>434</v>
      </c>
      <c r="E547" s="1">
        <v>13484.25</v>
      </c>
      <c r="F547" s="1">
        <v>13484.25</v>
      </c>
      <c r="G547" s="1">
        <v>13484.25</v>
      </c>
    </row>
    <row r="548" spans="1:7" x14ac:dyDescent="0.3">
      <c r="A548" t="s">
        <v>435</v>
      </c>
      <c r="B548" t="s">
        <v>435</v>
      </c>
      <c r="C548" t="s">
        <v>18</v>
      </c>
      <c r="D548" t="s">
        <v>491</v>
      </c>
      <c r="E548" s="1">
        <v>10997</v>
      </c>
      <c r="F548" s="1">
        <v>10997</v>
      </c>
      <c r="G548" s="1">
        <v>10997</v>
      </c>
    </row>
    <row r="549" spans="1:7" x14ac:dyDescent="0.3">
      <c r="A549" t="s">
        <v>435</v>
      </c>
      <c r="B549" t="s">
        <v>435</v>
      </c>
      <c r="C549" t="s">
        <v>18</v>
      </c>
      <c r="D549" t="s">
        <v>445</v>
      </c>
      <c r="E549" s="1">
        <v>7560</v>
      </c>
      <c r="F549" s="1">
        <v>7560</v>
      </c>
      <c r="G549" s="1">
        <v>7560</v>
      </c>
    </row>
    <row r="550" spans="1:7" x14ac:dyDescent="0.3">
      <c r="A550" t="s">
        <v>435</v>
      </c>
      <c r="B550" t="s">
        <v>435</v>
      </c>
      <c r="C550" t="s">
        <v>25</v>
      </c>
      <c r="D550" t="s">
        <v>32</v>
      </c>
      <c r="E550" s="1">
        <v>2545160.85</v>
      </c>
      <c r="F550" s="1">
        <v>2545160.85</v>
      </c>
      <c r="G550" s="1">
        <v>2545160.85</v>
      </c>
    </row>
    <row r="551" spans="1:7" x14ac:dyDescent="0.3">
      <c r="A551" t="s">
        <v>435</v>
      </c>
      <c r="B551" t="s">
        <v>435</v>
      </c>
      <c r="C551" t="s">
        <v>25</v>
      </c>
      <c r="D551" t="s">
        <v>471</v>
      </c>
      <c r="E551" s="1">
        <v>1770761.3</v>
      </c>
      <c r="F551" s="1">
        <v>1770761.3</v>
      </c>
      <c r="G551" s="1">
        <v>1770761.3</v>
      </c>
    </row>
    <row r="552" spans="1:7" x14ac:dyDescent="0.3">
      <c r="A552" t="s">
        <v>435</v>
      </c>
      <c r="B552" t="s">
        <v>435</v>
      </c>
      <c r="C552" t="s">
        <v>25</v>
      </c>
      <c r="D552" t="s">
        <v>492</v>
      </c>
      <c r="E552" s="1">
        <v>1619423.98</v>
      </c>
      <c r="F552" s="1">
        <v>1619423.98</v>
      </c>
      <c r="G552" s="1">
        <v>1619423.98</v>
      </c>
    </row>
    <row r="553" spans="1:7" x14ac:dyDescent="0.3">
      <c r="A553" t="s">
        <v>435</v>
      </c>
      <c r="B553" t="s">
        <v>435</v>
      </c>
      <c r="C553" t="s">
        <v>25</v>
      </c>
      <c r="D553" t="s">
        <v>493</v>
      </c>
      <c r="E553" s="1">
        <v>10712</v>
      </c>
      <c r="F553" s="1">
        <v>10712</v>
      </c>
      <c r="G553" s="1">
        <v>10712</v>
      </c>
    </row>
    <row r="554" spans="1:7" x14ac:dyDescent="0.3">
      <c r="A554" t="s">
        <v>435</v>
      </c>
      <c r="B554" t="s">
        <v>435</v>
      </c>
      <c r="C554" t="s">
        <v>25</v>
      </c>
      <c r="D554" t="s">
        <v>494</v>
      </c>
      <c r="E554" s="1">
        <v>6000</v>
      </c>
      <c r="F554" s="1">
        <v>6000</v>
      </c>
      <c r="G554" s="1">
        <v>6000</v>
      </c>
    </row>
    <row r="555" spans="1:7" x14ac:dyDescent="0.3">
      <c r="A555" t="s">
        <v>435</v>
      </c>
      <c r="B555" t="s">
        <v>435</v>
      </c>
      <c r="C555" t="s">
        <v>25</v>
      </c>
      <c r="D555" t="s">
        <v>495</v>
      </c>
      <c r="E555" s="1">
        <v>3698.87</v>
      </c>
      <c r="F555" s="1">
        <v>3698.87</v>
      </c>
      <c r="G555" s="1">
        <v>3698.87</v>
      </c>
    </row>
    <row r="556" spans="1:7" x14ac:dyDescent="0.3">
      <c r="A556" t="s">
        <v>435</v>
      </c>
      <c r="B556" t="s">
        <v>435</v>
      </c>
      <c r="C556" t="s">
        <v>7</v>
      </c>
      <c r="D556" t="s">
        <v>496</v>
      </c>
      <c r="E556" s="1">
        <v>2990970.62</v>
      </c>
      <c r="F556" s="1">
        <v>2990970.62</v>
      </c>
      <c r="G556" s="1">
        <v>2990970.62</v>
      </c>
    </row>
    <row r="557" spans="1:7" x14ac:dyDescent="0.3">
      <c r="A557" t="s">
        <v>435</v>
      </c>
      <c r="B557" t="s">
        <v>435</v>
      </c>
      <c r="C557" t="s">
        <v>7</v>
      </c>
      <c r="D557" t="s">
        <v>436</v>
      </c>
      <c r="E557" s="1">
        <v>2140734.94</v>
      </c>
      <c r="F557" s="1">
        <v>2140734.94</v>
      </c>
      <c r="G557" s="1">
        <v>2140734.94</v>
      </c>
    </row>
    <row r="558" spans="1:7" x14ac:dyDescent="0.3">
      <c r="A558" t="s">
        <v>435</v>
      </c>
      <c r="B558" t="s">
        <v>435</v>
      </c>
      <c r="C558" t="s">
        <v>34</v>
      </c>
      <c r="D558" t="s">
        <v>487</v>
      </c>
      <c r="E558" s="1">
        <v>4699721.59</v>
      </c>
      <c r="F558" s="1">
        <v>4699721.59</v>
      </c>
      <c r="G558" s="1">
        <v>4699721.59</v>
      </c>
    </row>
    <row r="559" spans="1:7" x14ac:dyDescent="0.3">
      <c r="A559" t="s">
        <v>435</v>
      </c>
      <c r="B559" t="s">
        <v>435</v>
      </c>
      <c r="C559" t="s">
        <v>57</v>
      </c>
      <c r="D559" t="s">
        <v>497</v>
      </c>
      <c r="E559" s="1">
        <v>3000000</v>
      </c>
      <c r="F559" s="1">
        <v>3000000</v>
      </c>
      <c r="G559" s="1">
        <v>3000000</v>
      </c>
    </row>
    <row r="560" spans="1:7" x14ac:dyDescent="0.3">
      <c r="A560" t="s">
        <v>435</v>
      </c>
      <c r="B560" t="s">
        <v>435</v>
      </c>
      <c r="C560" t="s">
        <v>57</v>
      </c>
      <c r="D560" t="s">
        <v>498</v>
      </c>
      <c r="E560" s="1">
        <v>1318843.2</v>
      </c>
      <c r="F560" s="1">
        <v>1318843.2</v>
      </c>
      <c r="G560" s="1">
        <v>1318843.2</v>
      </c>
    </row>
    <row r="561" spans="1:7" x14ac:dyDescent="0.3">
      <c r="A561" t="s">
        <v>435</v>
      </c>
      <c r="B561" t="s">
        <v>435</v>
      </c>
      <c r="C561" t="s">
        <v>57</v>
      </c>
      <c r="D561" t="s">
        <v>499</v>
      </c>
      <c r="E561" s="1">
        <v>154685.37</v>
      </c>
      <c r="F561" s="1">
        <v>154685.37</v>
      </c>
      <c r="G561" s="1">
        <v>154685.37</v>
      </c>
    </row>
    <row r="562" spans="1:7" x14ac:dyDescent="0.3">
      <c r="A562" t="s">
        <v>435</v>
      </c>
      <c r="B562" t="s">
        <v>435</v>
      </c>
      <c r="C562" t="s">
        <v>36</v>
      </c>
      <c r="D562" t="s">
        <v>437</v>
      </c>
      <c r="E562" s="1">
        <v>3080291.63</v>
      </c>
      <c r="F562" s="1">
        <v>3080291.63</v>
      </c>
      <c r="G562" s="1">
        <v>3080291.63</v>
      </c>
    </row>
    <row r="563" spans="1:7" x14ac:dyDescent="0.3">
      <c r="A563" t="s">
        <v>435</v>
      </c>
      <c r="B563" t="s">
        <v>435</v>
      </c>
      <c r="C563" t="s">
        <v>36</v>
      </c>
      <c r="D563" t="s">
        <v>438</v>
      </c>
      <c r="E563" s="1">
        <v>856502.01</v>
      </c>
      <c r="F563" s="1">
        <v>856502.01</v>
      </c>
      <c r="G563" s="1">
        <v>856502.01</v>
      </c>
    </row>
    <row r="564" spans="1:7" x14ac:dyDescent="0.3">
      <c r="A564" t="s">
        <v>435</v>
      </c>
      <c r="B564" t="s">
        <v>435</v>
      </c>
      <c r="C564" t="s">
        <v>36</v>
      </c>
      <c r="D564" t="s">
        <v>500</v>
      </c>
      <c r="E564" s="1">
        <v>92208</v>
      </c>
      <c r="F564" s="1">
        <v>92208</v>
      </c>
      <c r="G564" s="1">
        <v>92208</v>
      </c>
    </row>
    <row r="565" spans="1:7" x14ac:dyDescent="0.3">
      <c r="A565" t="s">
        <v>435</v>
      </c>
      <c r="B565" t="s">
        <v>435</v>
      </c>
      <c r="C565" t="s">
        <v>36</v>
      </c>
      <c r="D565" t="s">
        <v>501</v>
      </c>
      <c r="E565" s="1">
        <v>50212.800000000003</v>
      </c>
      <c r="F565" s="1">
        <v>50212.800000000003</v>
      </c>
      <c r="G565" s="1">
        <v>50212.800000000003</v>
      </c>
    </row>
    <row r="566" spans="1:7" x14ac:dyDescent="0.3">
      <c r="A566" t="s">
        <v>435</v>
      </c>
      <c r="B566" t="s">
        <v>435</v>
      </c>
      <c r="C566" t="s">
        <v>36</v>
      </c>
      <c r="D566" t="s">
        <v>502</v>
      </c>
      <c r="E566" s="1">
        <v>8720.4</v>
      </c>
      <c r="F566" s="1">
        <v>8720.4</v>
      </c>
      <c r="G566" s="1">
        <v>8720.4</v>
      </c>
    </row>
    <row r="567" spans="1:7" x14ac:dyDescent="0.3">
      <c r="A567" t="s">
        <v>435</v>
      </c>
      <c r="B567" t="s">
        <v>435</v>
      </c>
      <c r="C567" t="s">
        <v>20</v>
      </c>
      <c r="D567" t="s">
        <v>503</v>
      </c>
      <c r="E567" s="1">
        <v>1300289.54</v>
      </c>
      <c r="F567" s="1">
        <v>1300289.54</v>
      </c>
      <c r="G567" s="1">
        <v>1300289.54</v>
      </c>
    </row>
    <row r="568" spans="1:7" x14ac:dyDescent="0.3">
      <c r="A568" t="s">
        <v>435</v>
      </c>
      <c r="B568" t="s">
        <v>435</v>
      </c>
      <c r="C568" t="s">
        <v>20</v>
      </c>
      <c r="D568" t="s">
        <v>504</v>
      </c>
      <c r="E568" s="1">
        <v>698468.45</v>
      </c>
      <c r="F568" s="1">
        <v>698468.45</v>
      </c>
      <c r="G568" s="1">
        <v>698468.45</v>
      </c>
    </row>
    <row r="569" spans="1:7" x14ac:dyDescent="0.3">
      <c r="A569" t="s">
        <v>435</v>
      </c>
      <c r="B569" t="s">
        <v>435</v>
      </c>
      <c r="C569" t="s">
        <v>20</v>
      </c>
      <c r="D569" t="s">
        <v>505</v>
      </c>
      <c r="E569" s="1">
        <v>184711.1</v>
      </c>
      <c r="F569" s="1">
        <v>184711.1</v>
      </c>
      <c r="G569" s="1">
        <v>184711.1</v>
      </c>
    </row>
    <row r="570" spans="1:7" x14ac:dyDescent="0.3">
      <c r="A570" t="s">
        <v>435</v>
      </c>
      <c r="B570" t="s">
        <v>435</v>
      </c>
      <c r="C570" t="s">
        <v>20</v>
      </c>
      <c r="D570" t="s">
        <v>506</v>
      </c>
      <c r="E570" s="1">
        <v>22701.599999999999</v>
      </c>
      <c r="F570" s="1">
        <v>22701.599999999999</v>
      </c>
      <c r="G570" s="1">
        <v>22701.599999999999</v>
      </c>
    </row>
    <row r="571" spans="1:7" x14ac:dyDescent="0.3">
      <c r="A571" t="s">
        <v>435</v>
      </c>
      <c r="B571" t="s">
        <v>435</v>
      </c>
      <c r="C571" t="s">
        <v>31</v>
      </c>
      <c r="D571" t="s">
        <v>476</v>
      </c>
      <c r="E571" s="1">
        <v>548672</v>
      </c>
      <c r="F571" s="1">
        <v>548672</v>
      </c>
      <c r="G571" s="1">
        <v>548672</v>
      </c>
    </row>
    <row r="572" spans="1:7" x14ac:dyDescent="0.3">
      <c r="A572" t="s">
        <v>435</v>
      </c>
      <c r="B572" t="s">
        <v>435</v>
      </c>
      <c r="C572" t="s">
        <v>31</v>
      </c>
      <c r="D572" t="s">
        <v>507</v>
      </c>
      <c r="E572" s="1">
        <v>534120</v>
      </c>
      <c r="F572" s="1">
        <v>534120</v>
      </c>
      <c r="G572" s="1">
        <v>534120</v>
      </c>
    </row>
    <row r="573" spans="1:7" x14ac:dyDescent="0.3">
      <c r="A573" t="s">
        <v>435</v>
      </c>
      <c r="B573" t="s">
        <v>435</v>
      </c>
      <c r="C573" t="s">
        <v>31</v>
      </c>
      <c r="D573" t="s">
        <v>508</v>
      </c>
      <c r="E573" s="1">
        <v>313475</v>
      </c>
      <c r="F573" s="1">
        <v>313475</v>
      </c>
      <c r="G573" s="1">
        <v>313475</v>
      </c>
    </row>
    <row r="574" spans="1:7" x14ac:dyDescent="0.3">
      <c r="A574" t="s">
        <v>435</v>
      </c>
      <c r="B574" t="s">
        <v>435</v>
      </c>
      <c r="C574" t="s">
        <v>31</v>
      </c>
      <c r="D574" t="s">
        <v>509</v>
      </c>
      <c r="E574" s="1">
        <v>261205.4</v>
      </c>
      <c r="F574" s="1">
        <v>261205.4</v>
      </c>
      <c r="G574" s="1">
        <v>261205.4</v>
      </c>
    </row>
    <row r="575" spans="1:7" x14ac:dyDescent="0.3">
      <c r="A575" t="s">
        <v>435</v>
      </c>
      <c r="B575" t="s">
        <v>435</v>
      </c>
      <c r="C575" t="s">
        <v>30</v>
      </c>
      <c r="D575" t="s">
        <v>510</v>
      </c>
      <c r="E575" s="1">
        <v>277800</v>
      </c>
      <c r="F575" s="1">
        <v>277800</v>
      </c>
      <c r="G575" s="1">
        <v>277800</v>
      </c>
    </row>
    <row r="576" spans="1:7" x14ac:dyDescent="0.3">
      <c r="A576" t="s">
        <v>435</v>
      </c>
      <c r="B576" t="s">
        <v>435</v>
      </c>
      <c r="C576" t="s">
        <v>30</v>
      </c>
      <c r="D576" t="s">
        <v>511</v>
      </c>
      <c r="E576" s="1">
        <v>211360</v>
      </c>
      <c r="F576" s="1">
        <v>211360</v>
      </c>
      <c r="G576" s="1">
        <v>211360</v>
      </c>
    </row>
    <row r="577" spans="1:7" x14ac:dyDescent="0.3">
      <c r="A577" t="s">
        <v>435</v>
      </c>
      <c r="B577" t="s">
        <v>435</v>
      </c>
      <c r="C577" t="s">
        <v>30</v>
      </c>
      <c r="D577" t="s">
        <v>508</v>
      </c>
      <c r="E577" s="1">
        <v>155900</v>
      </c>
      <c r="F577" s="1">
        <v>155900</v>
      </c>
      <c r="G577" s="1">
        <v>155900</v>
      </c>
    </row>
    <row r="578" spans="1:7" x14ac:dyDescent="0.3">
      <c r="A578" t="s">
        <v>435</v>
      </c>
      <c r="B578" t="s">
        <v>435</v>
      </c>
      <c r="C578" t="s">
        <v>30</v>
      </c>
      <c r="D578" t="s">
        <v>512</v>
      </c>
      <c r="E578" s="1">
        <v>82320</v>
      </c>
      <c r="F578" s="1">
        <v>82320</v>
      </c>
      <c r="G578" s="1">
        <v>82320</v>
      </c>
    </row>
    <row r="579" spans="1:7" x14ac:dyDescent="0.3">
      <c r="A579" t="s">
        <v>435</v>
      </c>
      <c r="B579" t="s">
        <v>435</v>
      </c>
      <c r="C579" t="s">
        <v>24</v>
      </c>
      <c r="D579" t="s">
        <v>69</v>
      </c>
      <c r="E579" s="1">
        <v>566435.81999999995</v>
      </c>
      <c r="F579" s="1">
        <v>566435.81999999995</v>
      </c>
      <c r="G579" s="1">
        <v>566435.81999999995</v>
      </c>
    </row>
    <row r="580" spans="1:7" x14ac:dyDescent="0.3">
      <c r="A580" t="s">
        <v>435</v>
      </c>
      <c r="B580" t="s">
        <v>435</v>
      </c>
      <c r="C580" t="s">
        <v>55</v>
      </c>
      <c r="D580" t="s">
        <v>470</v>
      </c>
      <c r="E580" s="1">
        <v>285906.68</v>
      </c>
      <c r="F580" s="1">
        <v>285906.68</v>
      </c>
      <c r="G580" s="1">
        <v>285906.68</v>
      </c>
    </row>
    <row r="581" spans="1:7" x14ac:dyDescent="0.3">
      <c r="A581" t="s">
        <v>435</v>
      </c>
      <c r="B581" t="s">
        <v>435</v>
      </c>
      <c r="C581" t="s">
        <v>9</v>
      </c>
      <c r="D581" t="s">
        <v>513</v>
      </c>
      <c r="E581" s="1">
        <v>206550</v>
      </c>
      <c r="F581" s="1">
        <v>206550</v>
      </c>
      <c r="G581" s="1">
        <v>206550</v>
      </c>
    </row>
    <row r="582" spans="1:7" x14ac:dyDescent="0.3">
      <c r="A582" t="s">
        <v>435</v>
      </c>
      <c r="B582" t="s">
        <v>435</v>
      </c>
      <c r="C582" t="s">
        <v>13</v>
      </c>
      <c r="D582" t="s">
        <v>514</v>
      </c>
      <c r="E582" s="1">
        <v>62666</v>
      </c>
      <c r="F582" s="1">
        <v>62666</v>
      </c>
      <c r="G582" s="1">
        <v>62666</v>
      </c>
    </row>
    <row r="583" spans="1:7" x14ac:dyDescent="0.3">
      <c r="A583" t="s">
        <v>435</v>
      </c>
      <c r="B583" t="s">
        <v>435</v>
      </c>
      <c r="C583" t="s">
        <v>13</v>
      </c>
      <c r="D583" t="s">
        <v>515</v>
      </c>
      <c r="E583" s="1">
        <v>36811.040000000001</v>
      </c>
      <c r="F583" s="1">
        <v>36811.040000000001</v>
      </c>
      <c r="G583" s="1">
        <v>36811.040000000001</v>
      </c>
    </row>
    <row r="584" spans="1:7" x14ac:dyDescent="0.3">
      <c r="A584" t="s">
        <v>435</v>
      </c>
      <c r="B584" t="s">
        <v>435</v>
      </c>
      <c r="C584" t="s">
        <v>13</v>
      </c>
      <c r="D584" t="s">
        <v>72</v>
      </c>
      <c r="E584" s="1">
        <v>30186</v>
      </c>
      <c r="F584" s="1">
        <v>30186</v>
      </c>
      <c r="G584" s="1">
        <v>30186</v>
      </c>
    </row>
    <row r="585" spans="1:7" x14ac:dyDescent="0.3">
      <c r="A585" t="s">
        <v>435</v>
      </c>
      <c r="B585" t="s">
        <v>435</v>
      </c>
      <c r="C585" t="s">
        <v>13</v>
      </c>
      <c r="D585" t="s">
        <v>516</v>
      </c>
      <c r="E585" s="1">
        <v>504</v>
      </c>
      <c r="F585" s="1">
        <v>504</v>
      </c>
      <c r="G585" s="1">
        <v>504</v>
      </c>
    </row>
    <row r="586" spans="1:7" x14ac:dyDescent="0.3">
      <c r="A586" t="s">
        <v>435</v>
      </c>
      <c r="B586" t="s">
        <v>435</v>
      </c>
      <c r="C586" t="s">
        <v>13</v>
      </c>
      <c r="D586" t="s">
        <v>517</v>
      </c>
      <c r="E586" s="1">
        <v>459</v>
      </c>
      <c r="F586" s="1">
        <v>459</v>
      </c>
      <c r="G586" s="1">
        <v>459</v>
      </c>
    </row>
    <row r="587" spans="1:7" x14ac:dyDescent="0.3">
      <c r="A587" t="s">
        <v>435</v>
      </c>
      <c r="B587" t="s">
        <v>435</v>
      </c>
      <c r="C587" t="s">
        <v>17</v>
      </c>
      <c r="D587" t="s">
        <v>518</v>
      </c>
      <c r="E587" s="1">
        <v>58433.48</v>
      </c>
      <c r="F587" s="1">
        <v>58433.48</v>
      </c>
      <c r="G587" s="1">
        <v>58433.48</v>
      </c>
    </row>
    <row r="588" spans="1:7" x14ac:dyDescent="0.3">
      <c r="A588" t="s">
        <v>435</v>
      </c>
      <c r="B588" t="s">
        <v>435</v>
      </c>
      <c r="C588" t="s">
        <v>17</v>
      </c>
      <c r="D588" t="s">
        <v>519</v>
      </c>
      <c r="E588" s="1">
        <v>209</v>
      </c>
      <c r="F588" s="1">
        <v>209</v>
      </c>
      <c r="G588" s="1">
        <v>209</v>
      </c>
    </row>
    <row r="589" spans="1:7" x14ac:dyDescent="0.3">
      <c r="A589" t="s">
        <v>520</v>
      </c>
      <c r="B589" t="s">
        <v>520</v>
      </c>
      <c r="C589" t="s">
        <v>21</v>
      </c>
      <c r="D589" t="s">
        <v>521</v>
      </c>
      <c r="E589" s="1">
        <v>58988</v>
      </c>
      <c r="F589" s="1">
        <v>58988</v>
      </c>
      <c r="G589" s="1">
        <v>58988</v>
      </c>
    </row>
    <row r="590" spans="1:7" x14ac:dyDescent="0.3">
      <c r="A590" t="s">
        <v>523</v>
      </c>
      <c r="B590" t="s">
        <v>523</v>
      </c>
      <c r="C590" t="s">
        <v>54</v>
      </c>
      <c r="D590" t="s">
        <v>524</v>
      </c>
      <c r="E590" s="1">
        <v>83366587.659999996</v>
      </c>
      <c r="F590" s="1">
        <v>83366587.659999996</v>
      </c>
      <c r="G590" s="1">
        <v>83366587.659999996</v>
      </c>
    </row>
    <row r="591" spans="1:7" x14ac:dyDescent="0.3">
      <c r="A591" t="s">
        <v>523</v>
      </c>
      <c r="B591" t="s">
        <v>523</v>
      </c>
      <c r="C591" t="s">
        <v>54</v>
      </c>
      <c r="D591" t="s">
        <v>525</v>
      </c>
      <c r="E591" s="1">
        <v>8971381.9000000004</v>
      </c>
      <c r="F591" s="1">
        <v>8971381.9000000004</v>
      </c>
      <c r="G591" s="1">
        <v>8971381.9000000004</v>
      </c>
    </row>
    <row r="592" spans="1:7" x14ac:dyDescent="0.3">
      <c r="A592" t="s">
        <v>523</v>
      </c>
      <c r="B592" t="s">
        <v>523</v>
      </c>
      <c r="C592" t="s">
        <v>22</v>
      </c>
      <c r="D592" t="s">
        <v>524</v>
      </c>
      <c r="E592" s="1">
        <v>51785130.68</v>
      </c>
      <c r="F592" s="1">
        <v>51785130.68</v>
      </c>
      <c r="G592" s="1">
        <v>51785130.68</v>
      </c>
    </row>
    <row r="593" spans="1:7" x14ac:dyDescent="0.3">
      <c r="A593" t="s">
        <v>523</v>
      </c>
      <c r="B593" t="s">
        <v>523</v>
      </c>
      <c r="C593" t="s">
        <v>22</v>
      </c>
      <c r="D593" t="s">
        <v>526</v>
      </c>
      <c r="E593" s="1">
        <v>12056238.800000001</v>
      </c>
      <c r="F593" s="1">
        <v>12056238.800000001</v>
      </c>
      <c r="G593" s="1">
        <v>12056238.800000001</v>
      </c>
    </row>
    <row r="594" spans="1:7" x14ac:dyDescent="0.3">
      <c r="A594" t="s">
        <v>523</v>
      </c>
      <c r="B594" t="s">
        <v>523</v>
      </c>
      <c r="C594" t="s">
        <v>22</v>
      </c>
      <c r="D594" t="s">
        <v>527</v>
      </c>
      <c r="E594" s="1">
        <v>1134282.72</v>
      </c>
      <c r="F594" s="1">
        <v>1134282.72</v>
      </c>
      <c r="G594" s="1">
        <v>1134282.72</v>
      </c>
    </row>
    <row r="595" spans="1:7" x14ac:dyDescent="0.3">
      <c r="A595" t="s">
        <v>523</v>
      </c>
      <c r="B595" t="s">
        <v>523</v>
      </c>
      <c r="C595" t="s">
        <v>23</v>
      </c>
      <c r="D595" t="s">
        <v>528</v>
      </c>
      <c r="E595" s="1">
        <v>61220808</v>
      </c>
      <c r="F595" s="1">
        <v>61220808</v>
      </c>
      <c r="G595" s="1">
        <v>61220808</v>
      </c>
    </row>
    <row r="596" spans="1:7" x14ac:dyDescent="0.3">
      <c r="A596" t="s">
        <v>523</v>
      </c>
      <c r="B596" t="s">
        <v>523</v>
      </c>
      <c r="C596" t="s">
        <v>529</v>
      </c>
      <c r="D596" t="s">
        <v>530</v>
      </c>
      <c r="E596" s="1">
        <v>49863475.200000003</v>
      </c>
      <c r="F596" s="1">
        <v>49863475.200000003</v>
      </c>
      <c r="G596" s="1">
        <v>49863475.200000003</v>
      </c>
    </row>
    <row r="597" spans="1:7" x14ac:dyDescent="0.3">
      <c r="A597" t="s">
        <v>523</v>
      </c>
      <c r="B597" t="s">
        <v>523</v>
      </c>
      <c r="C597" t="s">
        <v>21</v>
      </c>
      <c r="D597" t="s">
        <v>524</v>
      </c>
      <c r="E597" s="1">
        <v>10952117.74</v>
      </c>
      <c r="F597" s="1">
        <v>10952117.74</v>
      </c>
      <c r="G597" s="1">
        <v>10952117.74</v>
      </c>
    </row>
    <row r="598" spans="1:7" x14ac:dyDescent="0.3">
      <c r="A598" t="s">
        <v>523</v>
      </c>
      <c r="B598" t="s">
        <v>523</v>
      </c>
      <c r="C598" t="s">
        <v>21</v>
      </c>
      <c r="D598" t="s">
        <v>531</v>
      </c>
      <c r="E598" s="1">
        <v>10371635.380000001</v>
      </c>
      <c r="F598" s="1">
        <v>10371635.380000001</v>
      </c>
      <c r="G598" s="1">
        <v>10371635.380000001</v>
      </c>
    </row>
    <row r="599" spans="1:7" x14ac:dyDescent="0.3">
      <c r="A599" t="s">
        <v>523</v>
      </c>
      <c r="B599" t="s">
        <v>523</v>
      </c>
      <c r="C599" t="s">
        <v>21</v>
      </c>
      <c r="D599" t="s">
        <v>532</v>
      </c>
      <c r="E599" s="1">
        <v>8602863.2400000002</v>
      </c>
      <c r="F599" s="1">
        <v>8602863.2400000002</v>
      </c>
      <c r="G599" s="1">
        <v>8602863.2400000002</v>
      </c>
    </row>
    <row r="600" spans="1:7" x14ac:dyDescent="0.3">
      <c r="A600" t="s">
        <v>523</v>
      </c>
      <c r="B600" t="s">
        <v>523</v>
      </c>
      <c r="C600" t="s">
        <v>21</v>
      </c>
      <c r="D600" t="s">
        <v>533</v>
      </c>
      <c r="E600" s="1">
        <v>3857206.62</v>
      </c>
      <c r="F600" s="1">
        <v>3857206.62</v>
      </c>
      <c r="G600" s="1">
        <v>3857206.62</v>
      </c>
    </row>
    <row r="601" spans="1:7" x14ac:dyDescent="0.3">
      <c r="A601" t="s">
        <v>523</v>
      </c>
      <c r="B601" t="s">
        <v>523</v>
      </c>
      <c r="C601" t="s">
        <v>21</v>
      </c>
      <c r="D601" t="s">
        <v>534</v>
      </c>
      <c r="E601" s="1">
        <v>3711262.27</v>
      </c>
      <c r="F601" s="1">
        <v>3711262.27</v>
      </c>
      <c r="G601" s="1">
        <v>3711262.27</v>
      </c>
    </row>
    <row r="602" spans="1:7" x14ac:dyDescent="0.3">
      <c r="A602" t="s">
        <v>523</v>
      </c>
      <c r="B602" t="s">
        <v>523</v>
      </c>
      <c r="C602" t="s">
        <v>21</v>
      </c>
      <c r="D602" t="s">
        <v>535</v>
      </c>
      <c r="E602" s="1">
        <v>2705715.66</v>
      </c>
      <c r="F602" s="1">
        <v>2705715.66</v>
      </c>
      <c r="G602" s="1">
        <v>2705715.66</v>
      </c>
    </row>
    <row r="603" spans="1:7" x14ac:dyDescent="0.3">
      <c r="A603" t="s">
        <v>523</v>
      </c>
      <c r="B603" t="s">
        <v>523</v>
      </c>
      <c r="C603" t="s">
        <v>21</v>
      </c>
      <c r="D603" t="s">
        <v>536</v>
      </c>
      <c r="E603" s="1">
        <v>1444359.04</v>
      </c>
      <c r="F603" s="1">
        <v>1444359.04</v>
      </c>
      <c r="G603" s="1">
        <v>1444359.04</v>
      </c>
    </row>
    <row r="604" spans="1:7" x14ac:dyDescent="0.3">
      <c r="A604" t="s">
        <v>523</v>
      </c>
      <c r="B604" t="s">
        <v>523</v>
      </c>
      <c r="C604" t="s">
        <v>21</v>
      </c>
      <c r="D604" t="s">
        <v>537</v>
      </c>
      <c r="E604" s="1">
        <v>253494.26</v>
      </c>
      <c r="F604" s="1">
        <v>253494.26</v>
      </c>
      <c r="G604" s="1">
        <v>253494.26</v>
      </c>
    </row>
    <row r="605" spans="1:7" x14ac:dyDescent="0.3">
      <c r="A605" t="s">
        <v>523</v>
      </c>
      <c r="B605" t="s">
        <v>523</v>
      </c>
      <c r="C605" t="s">
        <v>21</v>
      </c>
      <c r="D605" t="s">
        <v>538</v>
      </c>
      <c r="E605" s="1">
        <v>135049.57</v>
      </c>
      <c r="F605" s="1">
        <v>135049.57</v>
      </c>
      <c r="G605" s="1">
        <v>135049.57</v>
      </c>
    </row>
    <row r="606" spans="1:7" x14ac:dyDescent="0.3">
      <c r="A606" t="s">
        <v>523</v>
      </c>
      <c r="B606" t="s">
        <v>523</v>
      </c>
      <c r="C606" t="s">
        <v>20</v>
      </c>
      <c r="D606" t="s">
        <v>539</v>
      </c>
      <c r="E606" s="1">
        <v>15937913.25</v>
      </c>
      <c r="F606" s="1">
        <v>15937913.25</v>
      </c>
      <c r="G606" s="1">
        <v>15937913.25</v>
      </c>
    </row>
    <row r="607" spans="1:7" x14ac:dyDescent="0.3">
      <c r="A607" t="s">
        <v>523</v>
      </c>
      <c r="B607" t="s">
        <v>523</v>
      </c>
      <c r="C607" t="s">
        <v>20</v>
      </c>
      <c r="D607" t="s">
        <v>540</v>
      </c>
      <c r="E607" s="1">
        <v>6849899.0599999996</v>
      </c>
      <c r="F607" s="1">
        <v>6849899.0599999996</v>
      </c>
      <c r="G607" s="1">
        <v>6849899.0599999996</v>
      </c>
    </row>
    <row r="608" spans="1:7" x14ac:dyDescent="0.3">
      <c r="A608" t="s">
        <v>523</v>
      </c>
      <c r="B608" t="s">
        <v>523</v>
      </c>
      <c r="C608" t="s">
        <v>541</v>
      </c>
      <c r="D608" t="s">
        <v>530</v>
      </c>
      <c r="E608" s="1">
        <v>22659704.199999999</v>
      </c>
      <c r="F608" s="1">
        <v>22659704.199999999</v>
      </c>
      <c r="G608" s="1">
        <v>22659704.199999999</v>
      </c>
    </row>
    <row r="609" spans="1:7" x14ac:dyDescent="0.3">
      <c r="A609" t="s">
        <v>523</v>
      </c>
      <c r="B609" t="s">
        <v>523</v>
      </c>
      <c r="C609" t="s">
        <v>19</v>
      </c>
      <c r="D609" t="s">
        <v>542</v>
      </c>
      <c r="E609" s="1">
        <v>17523646.559999999</v>
      </c>
      <c r="F609" s="1">
        <v>17523646.559999999</v>
      </c>
      <c r="G609" s="1">
        <v>17523646.559999999</v>
      </c>
    </row>
    <row r="610" spans="1:7" x14ac:dyDescent="0.3">
      <c r="A610" t="s">
        <v>523</v>
      </c>
      <c r="B610" t="s">
        <v>523</v>
      </c>
      <c r="C610" t="s">
        <v>19</v>
      </c>
      <c r="D610" t="s">
        <v>524</v>
      </c>
      <c r="E610" s="1">
        <v>3115411.75</v>
      </c>
      <c r="F610" s="1">
        <v>3115411.75</v>
      </c>
      <c r="G610" s="1">
        <v>3115411.75</v>
      </c>
    </row>
    <row r="611" spans="1:7" x14ac:dyDescent="0.3">
      <c r="A611" t="s">
        <v>523</v>
      </c>
      <c r="B611" t="s">
        <v>523</v>
      </c>
      <c r="C611" t="s">
        <v>19</v>
      </c>
      <c r="D611" t="s">
        <v>543</v>
      </c>
      <c r="E611" s="1">
        <v>92544.76</v>
      </c>
      <c r="F611" s="1">
        <v>92544.76</v>
      </c>
      <c r="G611" s="1">
        <v>92544.76</v>
      </c>
    </row>
    <row r="612" spans="1:7" x14ac:dyDescent="0.3">
      <c r="A612" t="s">
        <v>523</v>
      </c>
      <c r="B612" t="s">
        <v>523</v>
      </c>
      <c r="C612" t="s">
        <v>19</v>
      </c>
      <c r="D612" t="s">
        <v>544</v>
      </c>
      <c r="E612" s="1">
        <v>600</v>
      </c>
      <c r="F612" s="1">
        <v>600</v>
      </c>
      <c r="G612" s="1">
        <v>600</v>
      </c>
    </row>
    <row r="613" spans="1:7" x14ac:dyDescent="0.3">
      <c r="A613" t="s">
        <v>523</v>
      </c>
      <c r="B613" t="s">
        <v>523</v>
      </c>
      <c r="C613" t="s">
        <v>27</v>
      </c>
      <c r="D613" t="s">
        <v>545</v>
      </c>
      <c r="E613" s="1">
        <v>6943251.4400000004</v>
      </c>
      <c r="F613" s="1">
        <v>6943251.4400000004</v>
      </c>
      <c r="G613" s="1">
        <v>6943251.4400000004</v>
      </c>
    </row>
    <row r="614" spans="1:7" x14ac:dyDescent="0.3">
      <c r="A614" t="s">
        <v>523</v>
      </c>
      <c r="B614" t="s">
        <v>523</v>
      </c>
      <c r="C614" t="s">
        <v>27</v>
      </c>
      <c r="D614" t="s">
        <v>540</v>
      </c>
      <c r="E614" s="1">
        <v>5667369.7400000002</v>
      </c>
      <c r="F614" s="1">
        <v>5667369.7400000002</v>
      </c>
      <c r="G614" s="1">
        <v>5667369.7400000002</v>
      </c>
    </row>
    <row r="615" spans="1:7" x14ac:dyDescent="0.3">
      <c r="A615" t="s">
        <v>523</v>
      </c>
      <c r="B615" t="s">
        <v>523</v>
      </c>
      <c r="C615" t="s">
        <v>27</v>
      </c>
      <c r="D615" t="s">
        <v>546</v>
      </c>
      <c r="E615" s="1">
        <v>2733807.05</v>
      </c>
      <c r="F615" s="1">
        <v>2733807.05</v>
      </c>
      <c r="G615" s="1">
        <v>2733807.05</v>
      </c>
    </row>
    <row r="616" spans="1:7" x14ac:dyDescent="0.3">
      <c r="A616" t="s">
        <v>523</v>
      </c>
      <c r="B616" t="s">
        <v>523</v>
      </c>
      <c r="C616" t="s">
        <v>27</v>
      </c>
      <c r="D616" t="s">
        <v>534</v>
      </c>
      <c r="E616" s="1">
        <v>2040732.05</v>
      </c>
      <c r="F616" s="1">
        <v>2040732.05</v>
      </c>
      <c r="G616" s="1">
        <v>2040732.05</v>
      </c>
    </row>
    <row r="617" spans="1:7" x14ac:dyDescent="0.3">
      <c r="A617" t="s">
        <v>523</v>
      </c>
      <c r="B617" t="s">
        <v>523</v>
      </c>
      <c r="C617" t="s">
        <v>26</v>
      </c>
      <c r="D617" t="s">
        <v>547</v>
      </c>
      <c r="E617" s="1">
        <v>10746548.82</v>
      </c>
      <c r="F617" s="1">
        <v>10746548.82</v>
      </c>
      <c r="G617" s="1">
        <v>10746548.82</v>
      </c>
    </row>
    <row r="618" spans="1:7" x14ac:dyDescent="0.3">
      <c r="A618" t="s">
        <v>523</v>
      </c>
      <c r="B618" t="s">
        <v>523</v>
      </c>
      <c r="C618" t="s">
        <v>26</v>
      </c>
      <c r="D618" t="s">
        <v>525</v>
      </c>
      <c r="E618" s="1">
        <v>2677153.4300000002</v>
      </c>
      <c r="F618" s="1">
        <v>2677153.4300000002</v>
      </c>
      <c r="G618" s="1">
        <v>2677153.4300000002</v>
      </c>
    </row>
    <row r="619" spans="1:7" x14ac:dyDescent="0.3">
      <c r="A619" t="s">
        <v>523</v>
      </c>
      <c r="B619" t="s">
        <v>523</v>
      </c>
      <c r="C619" t="s">
        <v>26</v>
      </c>
      <c r="D619" t="s">
        <v>548</v>
      </c>
      <c r="E619" s="1">
        <v>1669790.93</v>
      </c>
      <c r="F619" s="1">
        <v>1669790.93</v>
      </c>
      <c r="G619" s="1">
        <v>1669790.93</v>
      </c>
    </row>
    <row r="620" spans="1:7" x14ac:dyDescent="0.3">
      <c r="A620" t="s">
        <v>523</v>
      </c>
      <c r="B620" t="s">
        <v>523</v>
      </c>
      <c r="C620" t="s">
        <v>26</v>
      </c>
      <c r="D620" t="s">
        <v>534</v>
      </c>
      <c r="E620" s="1">
        <v>1666046.09</v>
      </c>
      <c r="F620" s="1">
        <v>1666046.09</v>
      </c>
      <c r="G620" s="1">
        <v>1666046.09</v>
      </c>
    </row>
    <row r="621" spans="1:7" x14ac:dyDescent="0.3">
      <c r="A621" t="s">
        <v>523</v>
      </c>
      <c r="B621" t="s">
        <v>523</v>
      </c>
      <c r="C621" t="s">
        <v>26</v>
      </c>
      <c r="D621" t="s">
        <v>549</v>
      </c>
      <c r="E621" s="1">
        <v>190664.47</v>
      </c>
      <c r="F621" s="1">
        <v>190664.47</v>
      </c>
      <c r="G621" s="1">
        <v>190664.47</v>
      </c>
    </row>
    <row r="622" spans="1:7" x14ac:dyDescent="0.3">
      <c r="A622" t="s">
        <v>523</v>
      </c>
      <c r="B622" t="s">
        <v>523</v>
      </c>
      <c r="C622" t="s">
        <v>26</v>
      </c>
      <c r="D622" t="s">
        <v>550</v>
      </c>
      <c r="E622" s="1">
        <v>29469</v>
      </c>
      <c r="F622" s="1">
        <v>29469</v>
      </c>
      <c r="G622" s="1">
        <v>29469</v>
      </c>
    </row>
    <row r="623" spans="1:7" x14ac:dyDescent="0.3">
      <c r="A623" t="s">
        <v>523</v>
      </c>
      <c r="B623" t="s">
        <v>523</v>
      </c>
      <c r="C623" t="s">
        <v>7</v>
      </c>
      <c r="D623" t="s">
        <v>534</v>
      </c>
      <c r="E623" s="1">
        <v>13111685.689999999</v>
      </c>
      <c r="F623" s="1">
        <v>13111685.689999999</v>
      </c>
      <c r="G623" s="1">
        <v>13111685.689999999</v>
      </c>
    </row>
    <row r="624" spans="1:7" x14ac:dyDescent="0.3">
      <c r="A624" t="s">
        <v>523</v>
      </c>
      <c r="B624" t="s">
        <v>523</v>
      </c>
      <c r="C624" t="s">
        <v>7</v>
      </c>
      <c r="D624" t="s">
        <v>537</v>
      </c>
      <c r="E624" s="1">
        <v>286527.94</v>
      </c>
      <c r="F624" s="1">
        <v>286527.94</v>
      </c>
      <c r="G624" s="1">
        <v>286527.94</v>
      </c>
    </row>
    <row r="625" spans="1:7" x14ac:dyDescent="0.3">
      <c r="A625" t="s">
        <v>523</v>
      </c>
      <c r="B625" t="s">
        <v>523</v>
      </c>
      <c r="C625" t="s">
        <v>551</v>
      </c>
      <c r="D625" t="s">
        <v>530</v>
      </c>
      <c r="E625" s="1">
        <v>9890583</v>
      </c>
      <c r="F625" s="1">
        <v>9890583</v>
      </c>
      <c r="G625" s="1">
        <v>9890583</v>
      </c>
    </row>
    <row r="626" spans="1:7" x14ac:dyDescent="0.3">
      <c r="A626" t="s">
        <v>523</v>
      </c>
      <c r="B626" t="s">
        <v>523</v>
      </c>
      <c r="C626" t="s">
        <v>36</v>
      </c>
      <c r="D626" t="s">
        <v>546</v>
      </c>
      <c r="E626" s="1">
        <v>2839915.26</v>
      </c>
      <c r="F626" s="1">
        <v>2839915.26</v>
      </c>
      <c r="G626" s="1">
        <v>2839915.26</v>
      </c>
    </row>
    <row r="627" spans="1:7" x14ac:dyDescent="0.3">
      <c r="A627" t="s">
        <v>523</v>
      </c>
      <c r="B627" t="s">
        <v>523</v>
      </c>
      <c r="C627" t="s">
        <v>36</v>
      </c>
      <c r="D627" t="s">
        <v>552</v>
      </c>
      <c r="E627" s="1">
        <v>2121846.5499999998</v>
      </c>
      <c r="F627" s="1">
        <v>2121846.5499999998</v>
      </c>
      <c r="G627" s="1">
        <v>2121846.5499999998</v>
      </c>
    </row>
    <row r="628" spans="1:7" x14ac:dyDescent="0.3">
      <c r="A628" t="s">
        <v>523</v>
      </c>
      <c r="B628" t="s">
        <v>523</v>
      </c>
      <c r="C628" t="s">
        <v>36</v>
      </c>
      <c r="D628" t="s">
        <v>553</v>
      </c>
      <c r="E628" s="1">
        <v>1249287.8400000001</v>
      </c>
      <c r="F628" s="1">
        <v>1249287.8400000001</v>
      </c>
      <c r="G628" s="1">
        <v>1249287.8400000001</v>
      </c>
    </row>
    <row r="629" spans="1:7" x14ac:dyDescent="0.3">
      <c r="A629" t="s">
        <v>523</v>
      </c>
      <c r="B629" t="s">
        <v>523</v>
      </c>
      <c r="C629" t="s">
        <v>36</v>
      </c>
      <c r="D629" t="s">
        <v>554</v>
      </c>
      <c r="E629" s="1">
        <v>1075370.58</v>
      </c>
      <c r="F629" s="1">
        <v>1075370.58</v>
      </c>
      <c r="G629" s="1">
        <v>1075370.58</v>
      </c>
    </row>
    <row r="630" spans="1:7" x14ac:dyDescent="0.3">
      <c r="A630" t="s">
        <v>523</v>
      </c>
      <c r="B630" t="s">
        <v>523</v>
      </c>
      <c r="C630" t="s">
        <v>36</v>
      </c>
      <c r="D630" t="s">
        <v>524</v>
      </c>
      <c r="E630" s="1">
        <v>750668.58</v>
      </c>
      <c r="F630" s="1">
        <v>750668.58</v>
      </c>
      <c r="G630" s="1">
        <v>750668.58</v>
      </c>
    </row>
    <row r="631" spans="1:7" x14ac:dyDescent="0.3">
      <c r="A631" t="s">
        <v>523</v>
      </c>
      <c r="B631" t="s">
        <v>523</v>
      </c>
      <c r="C631" t="s">
        <v>24</v>
      </c>
      <c r="D631" t="s">
        <v>555</v>
      </c>
      <c r="E631" s="1">
        <v>6687310.7599999998</v>
      </c>
      <c r="F631" s="1">
        <v>6687310.7599999998</v>
      </c>
      <c r="G631" s="1">
        <v>6687310.7599999998</v>
      </c>
    </row>
    <row r="632" spans="1:7" x14ac:dyDescent="0.3">
      <c r="A632" t="s">
        <v>523</v>
      </c>
      <c r="B632" t="s">
        <v>523</v>
      </c>
      <c r="C632" t="s">
        <v>556</v>
      </c>
      <c r="D632" t="s">
        <v>526</v>
      </c>
      <c r="E632" s="1">
        <v>3838153</v>
      </c>
      <c r="F632" s="1">
        <v>3838153</v>
      </c>
      <c r="G632" s="1">
        <v>3838153</v>
      </c>
    </row>
    <row r="633" spans="1:7" x14ac:dyDescent="0.3">
      <c r="A633" t="s">
        <v>523</v>
      </c>
      <c r="B633" t="s">
        <v>523</v>
      </c>
      <c r="C633" t="s">
        <v>556</v>
      </c>
      <c r="D633" t="s">
        <v>557</v>
      </c>
      <c r="E633" s="1">
        <v>1982927</v>
      </c>
      <c r="F633" s="1">
        <v>1982927</v>
      </c>
      <c r="G633" s="1">
        <v>1982927</v>
      </c>
    </row>
    <row r="634" spans="1:7" x14ac:dyDescent="0.3">
      <c r="A634" t="s">
        <v>523</v>
      </c>
      <c r="B634" t="s">
        <v>523</v>
      </c>
      <c r="C634" t="s">
        <v>556</v>
      </c>
      <c r="D634" t="s">
        <v>558</v>
      </c>
      <c r="E634" s="1">
        <v>522180</v>
      </c>
      <c r="F634" s="1">
        <v>522180</v>
      </c>
      <c r="G634" s="1">
        <v>522180</v>
      </c>
    </row>
    <row r="635" spans="1:7" x14ac:dyDescent="0.3">
      <c r="A635" t="s">
        <v>523</v>
      </c>
      <c r="B635" t="s">
        <v>523</v>
      </c>
      <c r="C635" t="s">
        <v>28</v>
      </c>
      <c r="D635" t="s">
        <v>559</v>
      </c>
      <c r="E635" s="1">
        <v>3870383.9</v>
      </c>
      <c r="F635" s="1">
        <v>3870383.9</v>
      </c>
      <c r="G635" s="1">
        <v>3870383.9</v>
      </c>
    </row>
    <row r="636" spans="1:7" x14ac:dyDescent="0.3">
      <c r="A636" t="s">
        <v>523</v>
      </c>
      <c r="B636" t="s">
        <v>523</v>
      </c>
      <c r="C636" t="s">
        <v>28</v>
      </c>
      <c r="D636" t="s">
        <v>560</v>
      </c>
      <c r="E636" s="1">
        <v>2260965.94</v>
      </c>
      <c r="F636" s="1">
        <v>2260965.94</v>
      </c>
      <c r="G636" s="1">
        <v>2260965.94</v>
      </c>
    </row>
    <row r="637" spans="1:7" x14ac:dyDescent="0.3">
      <c r="A637" t="s">
        <v>523</v>
      </c>
      <c r="B637" t="s">
        <v>523</v>
      </c>
      <c r="C637" t="s">
        <v>29</v>
      </c>
      <c r="D637" t="s">
        <v>554</v>
      </c>
      <c r="E637" s="1">
        <v>1918320.6</v>
      </c>
      <c r="F637" s="1">
        <v>1918320.6</v>
      </c>
      <c r="G637" s="1">
        <v>1918320.6</v>
      </c>
    </row>
    <row r="638" spans="1:7" x14ac:dyDescent="0.3">
      <c r="A638" t="s">
        <v>523</v>
      </c>
      <c r="B638" t="s">
        <v>523</v>
      </c>
      <c r="C638" t="s">
        <v>33</v>
      </c>
      <c r="D638" t="s">
        <v>561</v>
      </c>
      <c r="E638" s="1">
        <v>1767709</v>
      </c>
      <c r="F638" s="1">
        <v>1767709</v>
      </c>
      <c r="G638" s="1">
        <v>1767709</v>
      </c>
    </row>
    <row r="639" spans="1:7" x14ac:dyDescent="0.3">
      <c r="A639" t="s">
        <v>523</v>
      </c>
      <c r="B639" t="s">
        <v>523</v>
      </c>
      <c r="C639" t="s">
        <v>18</v>
      </c>
      <c r="D639" t="s">
        <v>562</v>
      </c>
      <c r="E639" s="1">
        <v>1223684.31</v>
      </c>
      <c r="F639" s="1">
        <v>1223684.31</v>
      </c>
      <c r="G639" s="1">
        <v>1223684.31</v>
      </c>
    </row>
    <row r="640" spans="1:7" x14ac:dyDescent="0.3">
      <c r="A640" t="s">
        <v>523</v>
      </c>
      <c r="B640" t="s">
        <v>523</v>
      </c>
      <c r="C640" t="s">
        <v>18</v>
      </c>
      <c r="D640" t="s">
        <v>560</v>
      </c>
      <c r="E640" s="1">
        <v>101479.97</v>
      </c>
      <c r="F640" s="1">
        <v>101479.97</v>
      </c>
      <c r="G640" s="1">
        <v>101479.97</v>
      </c>
    </row>
    <row r="641" spans="1:7" x14ac:dyDescent="0.3">
      <c r="A641" t="s">
        <v>523</v>
      </c>
      <c r="B641" t="s">
        <v>523</v>
      </c>
      <c r="C641" t="s">
        <v>18</v>
      </c>
      <c r="D641" t="s">
        <v>540</v>
      </c>
      <c r="E641" s="1">
        <v>93948</v>
      </c>
      <c r="F641" s="1">
        <v>93948</v>
      </c>
      <c r="G641" s="1">
        <v>93948</v>
      </c>
    </row>
    <row r="642" spans="1:7" x14ac:dyDescent="0.3">
      <c r="A642" t="s">
        <v>523</v>
      </c>
      <c r="B642" t="s">
        <v>523</v>
      </c>
      <c r="C642" t="s">
        <v>18</v>
      </c>
      <c r="D642" t="s">
        <v>531</v>
      </c>
      <c r="E642" s="1">
        <v>83208</v>
      </c>
      <c r="F642" s="1">
        <v>83208</v>
      </c>
      <c r="G642" s="1">
        <v>83208</v>
      </c>
    </row>
    <row r="643" spans="1:7" x14ac:dyDescent="0.3">
      <c r="A643" t="s">
        <v>523</v>
      </c>
      <c r="B643" t="s">
        <v>523</v>
      </c>
      <c r="C643" t="s">
        <v>60</v>
      </c>
      <c r="D643" t="s">
        <v>563</v>
      </c>
      <c r="E643" s="1">
        <v>1192156.08</v>
      </c>
      <c r="F643" s="1">
        <v>1192156.08</v>
      </c>
      <c r="G643" s="1">
        <v>1192156.08</v>
      </c>
    </row>
    <row r="644" spans="1:7" x14ac:dyDescent="0.3">
      <c r="A644" t="s">
        <v>523</v>
      </c>
      <c r="B644" t="s">
        <v>523</v>
      </c>
      <c r="C644" t="s">
        <v>564</v>
      </c>
      <c r="D644" t="s">
        <v>565</v>
      </c>
      <c r="E644" s="1">
        <v>748096.08</v>
      </c>
      <c r="F644" s="1">
        <v>748096.08</v>
      </c>
      <c r="G644" s="1">
        <v>748096.08</v>
      </c>
    </row>
    <row r="645" spans="1:7" x14ac:dyDescent="0.3">
      <c r="A645" t="s">
        <v>523</v>
      </c>
      <c r="B645" t="s">
        <v>523</v>
      </c>
      <c r="C645" t="s">
        <v>564</v>
      </c>
      <c r="D645" t="s">
        <v>566</v>
      </c>
      <c r="E645" s="1">
        <v>94919.97</v>
      </c>
      <c r="F645" s="1">
        <v>94919.97</v>
      </c>
      <c r="G645" s="1">
        <v>94919.97</v>
      </c>
    </row>
    <row r="646" spans="1:7" x14ac:dyDescent="0.3">
      <c r="A646" t="s">
        <v>523</v>
      </c>
      <c r="B646" t="s">
        <v>523</v>
      </c>
      <c r="C646" t="s">
        <v>564</v>
      </c>
      <c r="D646" t="s">
        <v>567</v>
      </c>
      <c r="E646" s="1">
        <v>21420.47</v>
      </c>
      <c r="F646" s="1">
        <v>21420.47</v>
      </c>
      <c r="G646" s="1">
        <v>21420.47</v>
      </c>
    </row>
    <row r="647" spans="1:7" x14ac:dyDescent="0.3">
      <c r="A647" t="s">
        <v>523</v>
      </c>
      <c r="B647" t="s">
        <v>523</v>
      </c>
      <c r="C647" t="s">
        <v>568</v>
      </c>
      <c r="D647" t="s">
        <v>569</v>
      </c>
      <c r="E647" s="1">
        <v>800000</v>
      </c>
      <c r="F647" s="1">
        <v>800000</v>
      </c>
      <c r="G647" s="1">
        <v>800000</v>
      </c>
    </row>
    <row r="648" spans="1:7" x14ac:dyDescent="0.3">
      <c r="A648" t="s">
        <v>523</v>
      </c>
      <c r="B648" t="s">
        <v>523</v>
      </c>
      <c r="C648" t="s">
        <v>57</v>
      </c>
      <c r="D648" t="s">
        <v>570</v>
      </c>
      <c r="E648" s="1">
        <v>721354.75</v>
      </c>
      <c r="F648" s="1">
        <v>721354.75</v>
      </c>
      <c r="G648" s="1">
        <v>721354.75</v>
      </c>
    </row>
    <row r="649" spans="1:7" x14ac:dyDescent="0.3">
      <c r="A649" t="s">
        <v>523</v>
      </c>
      <c r="B649" t="s">
        <v>523</v>
      </c>
      <c r="C649" t="s">
        <v>25</v>
      </c>
      <c r="D649" t="s">
        <v>571</v>
      </c>
      <c r="E649" s="1">
        <v>87085.64</v>
      </c>
      <c r="F649" s="1">
        <v>87085.64</v>
      </c>
      <c r="G649" s="1">
        <v>87085.64</v>
      </c>
    </row>
    <row r="650" spans="1:7" x14ac:dyDescent="0.3">
      <c r="A650" t="s">
        <v>523</v>
      </c>
      <c r="B650" t="s">
        <v>523</v>
      </c>
      <c r="C650" t="s">
        <v>17</v>
      </c>
      <c r="D650" t="s">
        <v>572</v>
      </c>
      <c r="E650" s="1">
        <v>49814.46</v>
      </c>
      <c r="F650" s="1">
        <v>49814.46</v>
      </c>
      <c r="G650" s="1">
        <v>49814.46</v>
      </c>
    </row>
    <row r="651" spans="1:7" x14ac:dyDescent="0.3">
      <c r="A651" t="s">
        <v>523</v>
      </c>
      <c r="B651" t="s">
        <v>523</v>
      </c>
      <c r="C651" t="s">
        <v>13</v>
      </c>
      <c r="D651" t="s">
        <v>573</v>
      </c>
      <c r="E651" s="1">
        <v>973</v>
      </c>
      <c r="F651" s="1">
        <v>973</v>
      </c>
      <c r="G651" s="1">
        <v>973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504"/>
  <sheetViews>
    <sheetView topLeftCell="F7" zoomScaleNormal="100" workbookViewId="0">
      <selection activeCell="D12" sqref="D12:P52"/>
    </sheetView>
  </sheetViews>
  <sheetFormatPr defaultRowHeight="14.4" x14ac:dyDescent="0.3"/>
  <cols>
    <col min="1" max="1" width="48.88671875" customWidth="1"/>
    <col min="2" max="2" width="31.109375" style="6" bestFit="1" customWidth="1"/>
    <col min="3" max="3" width="8.88671875" customWidth="1"/>
    <col min="4" max="4" width="18" customWidth="1"/>
    <col min="5" max="5" width="16.21875" customWidth="1"/>
    <col min="6" max="6" width="17.5546875" customWidth="1"/>
    <col min="7" max="7" width="15.6640625" customWidth="1"/>
    <col min="8" max="8" width="8.88671875" customWidth="1"/>
    <col min="9" max="9" width="30.5546875" customWidth="1"/>
    <col min="10" max="10" width="14.5546875" customWidth="1"/>
    <col min="11" max="11" width="13.44140625" customWidth="1"/>
    <col min="13" max="13" width="30.109375" customWidth="1"/>
    <col min="14" max="14" width="16.109375" customWidth="1"/>
    <col min="15" max="15" width="15.88671875" customWidth="1"/>
    <col min="16" max="16" width="15.21875" customWidth="1"/>
  </cols>
  <sheetData>
    <row r="3" spans="1:17" x14ac:dyDescent="0.3">
      <c r="A3" s="2" t="s">
        <v>574</v>
      </c>
      <c r="B3" s="8" t="s">
        <v>575</v>
      </c>
    </row>
    <row r="4" spans="1:17" x14ac:dyDescent="0.3">
      <c r="A4" s="3" t="s">
        <v>37</v>
      </c>
      <c r="B4" s="8">
        <v>289201360.49999994</v>
      </c>
    </row>
    <row r="5" spans="1:17" x14ac:dyDescent="0.3">
      <c r="A5" s="3" t="s">
        <v>80</v>
      </c>
      <c r="B5" s="8">
        <v>2758362.95</v>
      </c>
    </row>
    <row r="6" spans="1:17" x14ac:dyDescent="0.3">
      <c r="A6" s="3" t="s">
        <v>84</v>
      </c>
      <c r="B6" s="8">
        <v>127085801.36999999</v>
      </c>
    </row>
    <row r="7" spans="1:17" x14ac:dyDescent="0.3">
      <c r="A7" s="3" t="s">
        <v>11</v>
      </c>
      <c r="B7" s="8">
        <v>12166835</v>
      </c>
    </row>
    <row r="8" spans="1:17" x14ac:dyDescent="0.3">
      <c r="A8" s="3" t="s">
        <v>117</v>
      </c>
      <c r="B8" s="8">
        <v>434690337.63999987</v>
      </c>
    </row>
    <row r="9" spans="1:17" x14ac:dyDescent="0.3">
      <c r="A9" s="3" t="s">
        <v>273</v>
      </c>
      <c r="B9" s="8">
        <v>126798788.84999998</v>
      </c>
    </row>
    <row r="10" spans="1:17" x14ac:dyDescent="0.3">
      <c r="A10" s="3" t="s">
        <v>15</v>
      </c>
      <c r="B10" s="8">
        <v>802341477.09999979</v>
      </c>
    </row>
    <row r="11" spans="1:17" ht="15" thickBot="1" x14ac:dyDescent="0.35">
      <c r="A11" s="3" t="s">
        <v>352</v>
      </c>
      <c r="B11" s="8">
        <v>56731331</v>
      </c>
    </row>
    <row r="12" spans="1:17" ht="29.4" thickBot="1" x14ac:dyDescent="0.35">
      <c r="A12" s="3" t="s">
        <v>364</v>
      </c>
      <c r="B12" s="8">
        <v>199536897.11000001</v>
      </c>
      <c r="D12" s="17" t="str">
        <f>A12</f>
        <v>Республика Саха</v>
      </c>
      <c r="E12" s="18" t="s">
        <v>2</v>
      </c>
      <c r="F12" s="18" t="s">
        <v>577</v>
      </c>
      <c r="G12" s="19" t="s">
        <v>576</v>
      </c>
      <c r="I12" s="17" t="s">
        <v>578</v>
      </c>
      <c r="J12" s="18" t="s">
        <v>577</v>
      </c>
      <c r="K12" s="19" t="s">
        <v>576</v>
      </c>
      <c r="M12" s="17" t="s">
        <v>578</v>
      </c>
      <c r="N12" s="18" t="s">
        <v>2</v>
      </c>
      <c r="O12" s="18" t="s">
        <v>577</v>
      </c>
      <c r="P12" s="19" t="s">
        <v>580</v>
      </c>
    </row>
    <row r="13" spans="1:17" x14ac:dyDescent="0.3">
      <c r="A13" s="4" t="s">
        <v>26</v>
      </c>
      <c r="B13" s="8">
        <v>9878273.1500000004</v>
      </c>
      <c r="D13" s="41"/>
      <c r="E13" s="23" t="s">
        <v>21</v>
      </c>
      <c r="F13" s="24">
        <v>55774038.949999988</v>
      </c>
      <c r="G13" s="42">
        <f>F13/F$28</f>
        <v>0.27951742137822794</v>
      </c>
      <c r="H13" s="34"/>
      <c r="I13" s="50" t="s">
        <v>365</v>
      </c>
      <c r="J13" s="51">
        <f>SUMIF(A$13:A$74,I13,B$13:B$74)</f>
        <v>56829471.959999993</v>
      </c>
      <c r="K13" s="52">
        <f>J13/J$52</f>
        <v>0.2848068341399097</v>
      </c>
      <c r="L13" s="34"/>
      <c r="M13" s="21" t="s">
        <v>365</v>
      </c>
      <c r="N13" s="22" t="s">
        <v>2</v>
      </c>
      <c r="O13" s="25">
        <f>SUM(O14:O17)</f>
        <v>56829471.960000001</v>
      </c>
      <c r="P13" s="45"/>
    </row>
    <row r="14" spans="1:17" x14ac:dyDescent="0.3">
      <c r="A14" s="5" t="s">
        <v>397</v>
      </c>
      <c r="B14" s="8">
        <v>17800</v>
      </c>
      <c r="D14" s="41"/>
      <c r="E14" s="23" t="s">
        <v>22</v>
      </c>
      <c r="F14" s="24">
        <v>44880558.700000003</v>
      </c>
      <c r="G14" s="42">
        <f t="shared" ref="G14:G27" si="0">F14/F$28</f>
        <v>0.22492360736299513</v>
      </c>
      <c r="H14" s="34"/>
      <c r="I14" s="15" t="s">
        <v>391</v>
      </c>
      <c r="J14" s="48">
        <f>SUMIF(A$13:A$74,I14,B$13:B$74)</f>
        <v>25384274.309999999</v>
      </c>
      <c r="K14" s="42">
        <f t="shared" ref="K14:K51" si="1">J14/J$52</f>
        <v>0.12721594190174385</v>
      </c>
      <c r="L14" s="34"/>
      <c r="M14" s="11"/>
      <c r="N14" s="46" t="s">
        <v>21</v>
      </c>
      <c r="O14" s="33">
        <v>35683716.280000001</v>
      </c>
      <c r="P14" s="42">
        <f>O14/O$13</f>
        <v>0.62790863700293298</v>
      </c>
      <c r="Q14" s="12"/>
    </row>
    <row r="15" spans="1:17" x14ac:dyDescent="0.3">
      <c r="A15" s="5" t="s">
        <v>365</v>
      </c>
      <c r="B15" s="8">
        <v>7642637.9000000004</v>
      </c>
      <c r="D15" s="41"/>
      <c r="E15" s="23" t="s">
        <v>27</v>
      </c>
      <c r="F15" s="24">
        <v>27797801.82</v>
      </c>
      <c r="G15" s="42">
        <f t="shared" si="0"/>
        <v>0.13931158709296618</v>
      </c>
      <c r="H15" s="34"/>
      <c r="I15" s="15" t="s">
        <v>394</v>
      </c>
      <c r="J15" s="48">
        <f>SUMIF(A$13:A$74,I15,B$13:B$74)</f>
        <v>15708929.300000001</v>
      </c>
      <c r="K15" s="42">
        <f t="shared" si="1"/>
        <v>7.8726939866866019E-2</v>
      </c>
      <c r="L15" s="34"/>
      <c r="M15" s="11"/>
      <c r="N15" s="46" t="s">
        <v>22</v>
      </c>
      <c r="O15" s="33">
        <v>9272014.1999999993</v>
      </c>
      <c r="P15" s="42">
        <f t="shared" ref="P15:P17" si="2">O15/O$13</f>
        <v>0.16315502995569273</v>
      </c>
      <c r="Q15" s="12"/>
    </row>
    <row r="16" spans="1:17" x14ac:dyDescent="0.3">
      <c r="A16" s="5" t="s">
        <v>396</v>
      </c>
      <c r="B16" s="8">
        <v>2217835.25</v>
      </c>
      <c r="D16" s="26"/>
      <c r="E16" s="23" t="s">
        <v>54</v>
      </c>
      <c r="F16" s="24">
        <v>20216360.210000001</v>
      </c>
      <c r="G16" s="42">
        <f t="shared" si="0"/>
        <v>0.10131640063970322</v>
      </c>
      <c r="H16" s="34"/>
      <c r="I16" s="15" t="s">
        <v>367</v>
      </c>
      <c r="J16" s="48">
        <f>SUMIF(A$13:A$74,I16,B$13:B$74)</f>
        <v>10580418.289999999</v>
      </c>
      <c r="K16" s="42">
        <f t="shared" si="1"/>
        <v>5.3024871305717779E-2</v>
      </c>
      <c r="L16" s="34"/>
      <c r="M16" s="11"/>
      <c r="N16" s="46" t="s">
        <v>26</v>
      </c>
      <c r="O16" s="33">
        <v>7642637.9000000004</v>
      </c>
      <c r="P16" s="42">
        <f t="shared" si="2"/>
        <v>0.13448370425435852</v>
      </c>
      <c r="Q16" s="12"/>
    </row>
    <row r="17" spans="1:17" ht="15.6" customHeight="1" x14ac:dyDescent="0.3">
      <c r="A17" s="4" t="s">
        <v>25</v>
      </c>
      <c r="B17" s="8">
        <v>9552215.2400000002</v>
      </c>
      <c r="D17" s="26"/>
      <c r="E17" s="23" t="s">
        <v>23</v>
      </c>
      <c r="F17" s="24">
        <v>15742361.300000001</v>
      </c>
      <c r="G17" s="42">
        <f t="shared" si="0"/>
        <v>7.8894487826587811E-2</v>
      </c>
      <c r="H17" s="34"/>
      <c r="I17" s="15" t="s">
        <v>398</v>
      </c>
      <c r="J17" s="48">
        <f>SUMIF(A$13:A$74,I17,B$13:B$74)</f>
        <v>9552215.2400000002</v>
      </c>
      <c r="K17" s="42">
        <f t="shared" si="1"/>
        <v>4.787192433254131E-2</v>
      </c>
      <c r="L17" s="34"/>
      <c r="M17" s="11"/>
      <c r="N17" s="46" t="s">
        <v>27</v>
      </c>
      <c r="O17" s="33">
        <v>4231103.58</v>
      </c>
      <c r="P17" s="42">
        <f t="shared" si="2"/>
        <v>7.4452628787015737E-2</v>
      </c>
    </row>
    <row r="18" spans="1:17" x14ac:dyDescent="0.3">
      <c r="A18" s="5" t="s">
        <v>398</v>
      </c>
      <c r="B18" s="8">
        <v>9552215.2400000002</v>
      </c>
      <c r="D18" s="26"/>
      <c r="E18" s="23" t="s">
        <v>26</v>
      </c>
      <c r="F18" s="24">
        <v>9878273.1500000004</v>
      </c>
      <c r="G18" s="42">
        <f t="shared" si="0"/>
        <v>4.9505997602810971E-2</v>
      </c>
      <c r="H18" s="34"/>
      <c r="I18" s="15" t="s">
        <v>399</v>
      </c>
      <c r="J18" s="48">
        <f>SUMIF(A$13:A$74,I18,B$13:B$74)</f>
        <v>9414901.3599999994</v>
      </c>
      <c r="K18" s="42">
        <f t="shared" si="1"/>
        <v>4.7183761481515804E-2</v>
      </c>
      <c r="L18" s="34"/>
      <c r="M18" s="21" t="s">
        <v>391</v>
      </c>
      <c r="N18" s="22" t="s">
        <v>2</v>
      </c>
      <c r="O18" s="25">
        <f>SUM(O19:O20)</f>
        <v>25384274.309999999</v>
      </c>
      <c r="P18" s="45"/>
      <c r="Q18" s="12"/>
    </row>
    <row r="19" spans="1:17" x14ac:dyDescent="0.3">
      <c r="A19" s="4" t="s">
        <v>30</v>
      </c>
      <c r="B19" s="8">
        <v>49950</v>
      </c>
      <c r="D19" s="26"/>
      <c r="E19" s="23" t="s">
        <v>25</v>
      </c>
      <c r="F19" s="24">
        <v>9552215.2400000002</v>
      </c>
      <c r="G19" s="42">
        <f t="shared" si="0"/>
        <v>4.7871924332541303E-2</v>
      </c>
      <c r="H19" s="34"/>
      <c r="I19" s="15" t="s">
        <v>388</v>
      </c>
      <c r="J19" s="48">
        <f>SUMIF(A$13:A$74,I19,B$13:B$74)</f>
        <v>8550294.7199999988</v>
      </c>
      <c r="K19" s="42">
        <f t="shared" si="1"/>
        <v>4.2850695003473084E-2</v>
      </c>
      <c r="L19" s="34"/>
      <c r="M19" s="11"/>
      <c r="N19" s="46" t="s">
        <v>27</v>
      </c>
      <c r="O19" s="20">
        <v>23566698.239999998</v>
      </c>
      <c r="P19" s="42">
        <f>O19/O$18</f>
        <v>0.9283975563845851</v>
      </c>
      <c r="Q19" s="12"/>
    </row>
    <row r="20" spans="1:17" x14ac:dyDescent="0.3">
      <c r="A20" s="5" t="s">
        <v>68</v>
      </c>
      <c r="B20" s="8">
        <v>49950</v>
      </c>
      <c r="D20" s="26"/>
      <c r="E20" s="23" t="s">
        <v>33</v>
      </c>
      <c r="F20" s="24">
        <v>9414901.3599999994</v>
      </c>
      <c r="G20" s="42">
        <f t="shared" si="0"/>
        <v>4.7183761481515797E-2</v>
      </c>
      <c r="H20" s="34"/>
      <c r="I20" s="15" t="s">
        <v>392</v>
      </c>
      <c r="J20" s="48">
        <f>SUMIF(A$13:A$74,I20,B$13:B$74)</f>
        <v>8204678.54</v>
      </c>
      <c r="K20" s="42">
        <f t="shared" si="1"/>
        <v>4.1118603420383724E-2</v>
      </c>
      <c r="L20" s="34"/>
      <c r="M20" s="11"/>
      <c r="N20" s="46" t="s">
        <v>7</v>
      </c>
      <c r="O20" s="20">
        <v>1817576.07</v>
      </c>
      <c r="P20" s="42">
        <f>O20/O$18</f>
        <v>7.1602443615414901E-2</v>
      </c>
      <c r="Q20" s="12"/>
    </row>
    <row r="21" spans="1:17" x14ac:dyDescent="0.3">
      <c r="A21" s="4" t="s">
        <v>23</v>
      </c>
      <c r="B21" s="8">
        <v>15742361.300000001</v>
      </c>
      <c r="D21" s="26"/>
      <c r="E21" s="23" t="s">
        <v>29</v>
      </c>
      <c r="F21" s="24">
        <v>3821798.21</v>
      </c>
      <c r="G21" s="42">
        <f t="shared" si="0"/>
        <v>1.9153340887590992E-2</v>
      </c>
      <c r="H21" s="34"/>
      <c r="I21" s="15" t="s">
        <v>384</v>
      </c>
      <c r="J21" s="48">
        <f>SUMIF(A$13:A$74,I21,B$13:B$74)</f>
        <v>8095024.7999999998</v>
      </c>
      <c r="K21" s="42">
        <f t="shared" si="1"/>
        <v>4.0569062249862509E-2</v>
      </c>
      <c r="L21" s="34"/>
      <c r="M21" s="21" t="s">
        <v>394</v>
      </c>
      <c r="N21" s="22" t="s">
        <v>2</v>
      </c>
      <c r="O21" s="25">
        <f>SUM(O22)</f>
        <v>15708929.300000001</v>
      </c>
      <c r="P21" s="45"/>
      <c r="Q21" s="12"/>
    </row>
    <row r="22" spans="1:17" x14ac:dyDescent="0.3">
      <c r="A22" s="5" t="s">
        <v>395</v>
      </c>
      <c r="B22" s="8">
        <v>33432</v>
      </c>
      <c r="D22" s="26"/>
      <c r="E22" s="23" t="s">
        <v>7</v>
      </c>
      <c r="F22" s="24">
        <v>1817576.07</v>
      </c>
      <c r="G22" s="42">
        <f t="shared" si="0"/>
        <v>9.1089723070015109E-3</v>
      </c>
      <c r="H22" s="34"/>
      <c r="I22" s="15" t="s">
        <v>385</v>
      </c>
      <c r="J22" s="48">
        <f>SUMIF(A$13:A$74,I22,B$13:B$74)</f>
        <v>8017448.0800000001</v>
      </c>
      <c r="K22" s="42">
        <f t="shared" si="1"/>
        <v>4.0180278415275598E-2</v>
      </c>
      <c r="L22" s="34"/>
      <c r="M22" s="11"/>
      <c r="N22" s="46" t="s">
        <v>23</v>
      </c>
      <c r="O22" s="20">
        <v>15708929.300000001</v>
      </c>
      <c r="P22" s="53">
        <f>O22/O21</f>
        <v>1</v>
      </c>
      <c r="Q22" s="12"/>
    </row>
    <row r="23" spans="1:17" x14ac:dyDescent="0.3">
      <c r="A23" s="5" t="s">
        <v>394</v>
      </c>
      <c r="B23" s="8">
        <v>15708929.300000001</v>
      </c>
      <c r="D23" s="26"/>
      <c r="E23" s="23" t="s">
        <v>55</v>
      </c>
      <c r="F23" s="24">
        <v>217790.64</v>
      </c>
      <c r="G23" s="42">
        <f t="shared" si="0"/>
        <v>1.0914805389598554E-3</v>
      </c>
      <c r="H23" s="34"/>
      <c r="I23" s="15" t="s">
        <v>366</v>
      </c>
      <c r="J23" s="48">
        <f>SUMIF(A$13:A$74,I23,B$13:B$74)</f>
        <v>5865740.9699999997</v>
      </c>
      <c r="K23" s="42">
        <f t="shared" si="1"/>
        <v>2.9396773503831498E-2</v>
      </c>
      <c r="L23" s="34"/>
      <c r="M23" s="21" t="s">
        <v>367</v>
      </c>
      <c r="N23" s="22" t="s">
        <v>2</v>
      </c>
      <c r="O23" s="25">
        <f>SUM(O24:O25)</f>
        <v>10580418.289999999</v>
      </c>
      <c r="P23" s="45"/>
      <c r="Q23" s="12"/>
    </row>
    <row r="24" spans="1:17" x14ac:dyDescent="0.3">
      <c r="A24" s="4" t="s">
        <v>21</v>
      </c>
      <c r="B24" s="8">
        <v>55774038.949999988</v>
      </c>
      <c r="D24" s="26"/>
      <c r="E24" s="23" t="s">
        <v>36</v>
      </c>
      <c r="F24" s="24">
        <v>178329.60000000001</v>
      </c>
      <c r="G24" s="42">
        <f t="shared" si="0"/>
        <v>8.9371741559001535E-4</v>
      </c>
      <c r="H24" s="34"/>
      <c r="I24" s="15" t="s">
        <v>393</v>
      </c>
      <c r="J24" s="48">
        <f>SUMIF(A$13:A$74,I24,B$13:B$74)</f>
        <v>5231366.1500000004</v>
      </c>
      <c r="K24" s="42">
        <f t="shared" si="1"/>
        <v>2.6217537837706636E-2</v>
      </c>
      <c r="L24" s="34"/>
      <c r="M24" s="11"/>
      <c r="N24" s="46" t="s">
        <v>22</v>
      </c>
      <c r="O24" s="20">
        <v>8253503.3399999999</v>
      </c>
      <c r="P24" s="42">
        <f>O24/O$23</f>
        <v>0.78007344452541494</v>
      </c>
      <c r="Q24" s="12"/>
    </row>
    <row r="25" spans="1:17" x14ac:dyDescent="0.3">
      <c r="A25" s="5" t="s">
        <v>374</v>
      </c>
      <c r="B25" s="8">
        <v>791162.58</v>
      </c>
      <c r="D25" s="26"/>
      <c r="E25" s="23" t="s">
        <v>18</v>
      </c>
      <c r="F25" s="24">
        <v>136989.85999999999</v>
      </c>
      <c r="G25" s="42">
        <f t="shared" si="0"/>
        <v>6.8653899095404234E-4</v>
      </c>
      <c r="H25" s="34"/>
      <c r="I25" s="15" t="s">
        <v>400</v>
      </c>
      <c r="J25" s="48">
        <f>SUMIF(A$13:A$74,I25,B$13:B$74)</f>
        <v>4039588.85</v>
      </c>
      <c r="K25" s="42">
        <f t="shared" si="1"/>
        <v>2.024482142655085E-2</v>
      </c>
      <c r="L25" s="34"/>
      <c r="M25" s="11"/>
      <c r="N25" s="46" t="s">
        <v>21</v>
      </c>
      <c r="O25" s="20">
        <v>2326914.9500000002</v>
      </c>
      <c r="P25" s="42">
        <f>O25/O$23</f>
        <v>0.21992655547458514</v>
      </c>
      <c r="Q25" s="12"/>
    </row>
    <row r="26" spans="1:17" x14ac:dyDescent="0.3">
      <c r="A26" s="5" t="s">
        <v>367</v>
      </c>
      <c r="B26" s="8">
        <v>2326914.9500000002</v>
      </c>
      <c r="D26" s="26"/>
      <c r="E26" s="23" t="s">
        <v>31</v>
      </c>
      <c r="F26" s="24">
        <v>57952</v>
      </c>
      <c r="G26" s="42">
        <f t="shared" si="0"/>
        <v>2.9043250065200935E-4</v>
      </c>
      <c r="H26" s="34"/>
      <c r="I26" s="15" t="s">
        <v>386</v>
      </c>
      <c r="J26" s="48">
        <f>SUMIF(A$13:A$74,I26,B$13:B$74)</f>
        <v>3542295.4</v>
      </c>
      <c r="K26" s="42">
        <f t="shared" si="1"/>
        <v>1.7752583363302557E-2</v>
      </c>
      <c r="L26" s="34"/>
      <c r="M26" s="21" t="s">
        <v>398</v>
      </c>
      <c r="N26" s="22" t="s">
        <v>2</v>
      </c>
      <c r="O26" s="25">
        <f>O27</f>
        <v>9552215.2400000002</v>
      </c>
      <c r="P26" s="45"/>
      <c r="Q26" s="12"/>
    </row>
    <row r="27" spans="1:17" x14ac:dyDescent="0.3">
      <c r="A27" s="5" t="s">
        <v>378</v>
      </c>
      <c r="B27" s="8">
        <v>426191.04</v>
      </c>
      <c r="D27" s="26"/>
      <c r="E27" s="23" t="s">
        <v>30</v>
      </c>
      <c r="F27" s="24">
        <v>49950</v>
      </c>
      <c r="G27" s="42">
        <f t="shared" si="0"/>
        <v>2.5032964190308991E-4</v>
      </c>
      <c r="H27" s="34"/>
      <c r="I27" s="15" t="s">
        <v>387</v>
      </c>
      <c r="J27" s="48">
        <f>SUMIF(A$13:A$74,I27,B$13:B$74)</f>
        <v>2946352.8</v>
      </c>
      <c r="K27" s="42">
        <f t="shared" si="1"/>
        <v>1.4765954781664993E-2</v>
      </c>
      <c r="L27" s="34"/>
      <c r="M27" s="11"/>
      <c r="N27" s="46" t="s">
        <v>25</v>
      </c>
      <c r="O27" s="20">
        <v>9552215.2400000002</v>
      </c>
      <c r="P27" s="53">
        <f>O27/O26</f>
        <v>1</v>
      </c>
      <c r="Q27" s="12"/>
    </row>
    <row r="28" spans="1:17" ht="15" thickBot="1" x14ac:dyDescent="0.35">
      <c r="A28" s="5" t="s">
        <v>365</v>
      </c>
      <c r="B28" s="8">
        <v>35683716.280000001</v>
      </c>
      <c r="D28" s="31"/>
      <c r="E28" s="43" t="s">
        <v>579</v>
      </c>
      <c r="F28" s="32">
        <f>SUM(F13:F27)</f>
        <v>199536897.11000001</v>
      </c>
      <c r="G28" s="49">
        <f>SUM(G13:G27)</f>
        <v>0.99999999999999989</v>
      </c>
      <c r="H28" s="34"/>
      <c r="I28" s="15" t="s">
        <v>396</v>
      </c>
      <c r="J28" s="48">
        <f>SUMIF(A$13:A$74,I28,B$13:B$74)</f>
        <v>2217835.25</v>
      </c>
      <c r="K28" s="42">
        <f t="shared" si="1"/>
        <v>1.1114912991642642E-2</v>
      </c>
      <c r="L28" s="34"/>
      <c r="M28" s="21" t="s">
        <v>399</v>
      </c>
      <c r="N28" s="22" t="s">
        <v>2</v>
      </c>
      <c r="O28" s="25">
        <f>O29</f>
        <v>9414901.3599999994</v>
      </c>
      <c r="P28" s="45"/>
      <c r="Q28" s="12"/>
    </row>
    <row r="29" spans="1:17" x14ac:dyDescent="0.3">
      <c r="A29" s="5" t="s">
        <v>366</v>
      </c>
      <c r="B29" s="8">
        <v>5865740.9699999997</v>
      </c>
      <c r="D29" s="34"/>
      <c r="E29" s="27"/>
      <c r="F29" s="28"/>
      <c r="G29" s="35"/>
      <c r="H29" s="34"/>
      <c r="I29" s="15" t="s">
        <v>368</v>
      </c>
      <c r="J29" s="48">
        <f>SUMIF(A$13:A$74,I29,B$13:B$74)</f>
        <v>1941097.54</v>
      </c>
      <c r="K29" s="42">
        <f t="shared" si="1"/>
        <v>9.7280130547981753E-3</v>
      </c>
      <c r="L29" s="34"/>
      <c r="M29" s="11"/>
      <c r="N29" s="46" t="s">
        <v>33</v>
      </c>
      <c r="O29" s="20">
        <v>9414901.3599999994</v>
      </c>
      <c r="P29" s="53">
        <f>O29/O28</f>
        <v>1</v>
      </c>
      <c r="Q29" s="12"/>
    </row>
    <row r="30" spans="1:17" x14ac:dyDescent="0.3">
      <c r="A30" s="5" t="s">
        <v>368</v>
      </c>
      <c r="B30" s="8">
        <v>1941097.54</v>
      </c>
      <c r="D30" s="34"/>
      <c r="E30" s="27"/>
      <c r="F30" s="28"/>
      <c r="G30" s="35"/>
      <c r="H30" s="34"/>
      <c r="I30" s="15" t="s">
        <v>389</v>
      </c>
      <c r="J30" s="48">
        <f>SUMIF(A$13:A$74,I30,B$13:B$74)</f>
        <v>1601061.28</v>
      </c>
      <c r="K30" s="42">
        <f t="shared" si="1"/>
        <v>8.0238858235696271E-3</v>
      </c>
      <c r="L30" s="34"/>
      <c r="M30" s="21" t="s">
        <v>388</v>
      </c>
      <c r="N30" s="22" t="s">
        <v>2</v>
      </c>
      <c r="O30" s="25">
        <f>SUM(O31:O32)</f>
        <v>8550294.7199999988</v>
      </c>
      <c r="P30" s="45"/>
      <c r="Q30" s="12"/>
    </row>
    <row r="31" spans="1:17" x14ac:dyDescent="0.3">
      <c r="A31" s="5" t="s">
        <v>377</v>
      </c>
      <c r="B31" s="8">
        <v>510632.59</v>
      </c>
      <c r="D31" s="34"/>
      <c r="E31" s="27"/>
      <c r="F31" s="28"/>
      <c r="G31" s="35"/>
      <c r="H31" s="34"/>
      <c r="I31" s="15" t="s">
        <v>370</v>
      </c>
      <c r="J31" s="48">
        <f>SUMIF(A$13:A$74,I31,B$13:B$74)</f>
        <v>1511929.9400000002</v>
      </c>
      <c r="K31" s="42">
        <f t="shared" si="1"/>
        <v>7.577194804059266E-3</v>
      </c>
      <c r="L31" s="34"/>
      <c r="M31" s="11"/>
      <c r="N31" s="46" t="s">
        <v>54</v>
      </c>
      <c r="O31" s="20">
        <v>6780315.5199999996</v>
      </c>
      <c r="P31" s="42">
        <f>O31/O$30</f>
        <v>0.79299202449012196</v>
      </c>
      <c r="Q31" s="12"/>
    </row>
    <row r="32" spans="1:17" x14ac:dyDescent="0.3">
      <c r="A32" s="5" t="s">
        <v>372</v>
      </c>
      <c r="B32" s="8">
        <v>1134166.47</v>
      </c>
      <c r="D32" s="34"/>
      <c r="E32" s="27"/>
      <c r="F32" s="28"/>
      <c r="G32" s="35"/>
      <c r="H32" s="34"/>
      <c r="I32" s="15" t="s">
        <v>369</v>
      </c>
      <c r="J32" s="48">
        <f>SUMIF(A$13:A$74,I32,B$13:B$74)</f>
        <v>1409174.48</v>
      </c>
      <c r="K32" s="42">
        <f t="shared" si="1"/>
        <v>7.0622250842316912E-3</v>
      </c>
      <c r="L32" s="34"/>
      <c r="M32" s="11"/>
      <c r="N32" s="46" t="s">
        <v>22</v>
      </c>
      <c r="O32" s="20">
        <v>1769979.2</v>
      </c>
      <c r="P32" s="42">
        <f>O32/O$30</f>
        <v>0.20700797550987812</v>
      </c>
      <c r="Q32" s="12"/>
    </row>
    <row r="33" spans="1:17" x14ac:dyDescent="0.3">
      <c r="A33" s="5" t="s">
        <v>369</v>
      </c>
      <c r="B33" s="8">
        <v>1409174.48</v>
      </c>
      <c r="D33" s="34"/>
      <c r="E33" s="27"/>
      <c r="F33" s="28"/>
      <c r="G33" s="35"/>
      <c r="H33" s="34"/>
      <c r="I33" s="15" t="s">
        <v>390</v>
      </c>
      <c r="J33" s="48">
        <f>SUMIF(A$13:A$74,I33,B$13:B$74)</f>
        <v>1382879.6</v>
      </c>
      <c r="K33" s="42">
        <f t="shared" si="1"/>
        <v>6.9304455468085745E-3</v>
      </c>
      <c r="L33" s="34"/>
      <c r="M33" s="21" t="s">
        <v>392</v>
      </c>
      <c r="N33" s="22" t="s">
        <v>2</v>
      </c>
      <c r="O33" s="25">
        <f>SUM(O34)</f>
        <v>8204678.54</v>
      </c>
      <c r="P33" s="45"/>
      <c r="Q33" s="12"/>
    </row>
    <row r="34" spans="1:17" x14ac:dyDescent="0.3">
      <c r="A34" s="5" t="s">
        <v>379</v>
      </c>
      <c r="B34" s="8">
        <v>331091.75</v>
      </c>
      <c r="D34" s="34"/>
      <c r="E34" s="27"/>
      <c r="F34" s="28"/>
      <c r="G34" s="35"/>
      <c r="H34" s="34"/>
      <c r="I34" s="15" t="s">
        <v>371</v>
      </c>
      <c r="J34" s="48">
        <f>SUMIF(A$13:A$74,I34,B$13:B$74)</f>
        <v>1323729.1599999999</v>
      </c>
      <c r="K34" s="42">
        <f t="shared" si="1"/>
        <v>6.6340069389284892E-3</v>
      </c>
      <c r="L34" s="34"/>
      <c r="M34" s="11"/>
      <c r="N34" s="46" t="s">
        <v>54</v>
      </c>
      <c r="O34" s="20">
        <v>8204678.54</v>
      </c>
      <c r="P34" s="53">
        <f>O34/O33</f>
        <v>1</v>
      </c>
      <c r="Q34" s="12"/>
    </row>
    <row r="35" spans="1:17" x14ac:dyDescent="0.3">
      <c r="A35" s="5" t="s">
        <v>382</v>
      </c>
      <c r="B35" s="8">
        <v>21246.5</v>
      </c>
      <c r="D35" s="34"/>
      <c r="E35" s="27"/>
      <c r="F35" s="28"/>
      <c r="G35" s="35"/>
      <c r="H35" s="34"/>
      <c r="I35" s="15" t="s">
        <v>372</v>
      </c>
      <c r="J35" s="48">
        <f>SUMIF(A$13:A$74,I35,B$13:B$74)</f>
        <v>1134166.47</v>
      </c>
      <c r="K35" s="42">
        <f t="shared" si="1"/>
        <v>5.6839937195914238E-3</v>
      </c>
      <c r="L35" s="34"/>
      <c r="M35" s="21" t="s">
        <v>384</v>
      </c>
      <c r="N35" s="22" t="s">
        <v>2</v>
      </c>
      <c r="O35" s="25">
        <f>SUM(O36)</f>
        <v>8095024.7999999998</v>
      </c>
      <c r="P35" s="45"/>
      <c r="Q35" s="12"/>
    </row>
    <row r="36" spans="1:17" x14ac:dyDescent="0.3">
      <c r="A36" s="5" t="s">
        <v>370</v>
      </c>
      <c r="B36" s="8">
        <v>1333600.3400000001</v>
      </c>
      <c r="D36" s="34"/>
      <c r="E36" s="27"/>
      <c r="F36" s="28"/>
      <c r="G36" s="35"/>
      <c r="H36" s="34"/>
      <c r="I36" s="15" t="s">
        <v>373</v>
      </c>
      <c r="J36" s="48">
        <f>SUMIF(A$13:A$74,I36,B$13:B$74)</f>
        <v>950838.51</v>
      </c>
      <c r="K36" s="42">
        <f t="shared" si="1"/>
        <v>4.7652265008201727E-3</v>
      </c>
      <c r="L36" s="34"/>
      <c r="M36" s="11"/>
      <c r="N36" s="46" t="s">
        <v>22</v>
      </c>
      <c r="O36" s="20">
        <v>8095024.7999999998</v>
      </c>
      <c r="P36" s="53">
        <f>O36/O35</f>
        <v>1</v>
      </c>
      <c r="Q36" s="12"/>
    </row>
    <row r="37" spans="1:17" x14ac:dyDescent="0.3">
      <c r="A37" s="5" t="s">
        <v>383</v>
      </c>
      <c r="B37" s="8">
        <v>19060.23</v>
      </c>
      <c r="D37" s="34"/>
      <c r="E37" s="27"/>
      <c r="F37" s="28"/>
      <c r="G37" s="35"/>
      <c r="H37" s="34"/>
      <c r="I37" s="15" t="s">
        <v>374</v>
      </c>
      <c r="J37" s="48">
        <f>SUMIF(A$13:A$74,I37,B$13:B$74)</f>
        <v>791162.58</v>
      </c>
      <c r="K37" s="42">
        <f t="shared" si="1"/>
        <v>3.9649939006711661E-3</v>
      </c>
      <c r="L37" s="34"/>
      <c r="M37" s="21" t="s">
        <v>385</v>
      </c>
      <c r="N37" s="22" t="s">
        <v>2</v>
      </c>
      <c r="O37" s="25">
        <f>SUM(O38)</f>
        <v>8017448.0800000001</v>
      </c>
      <c r="P37" s="45"/>
      <c r="Q37" s="12"/>
    </row>
    <row r="38" spans="1:17" ht="15" thickBot="1" x14ac:dyDescent="0.35">
      <c r="A38" s="5" t="s">
        <v>371</v>
      </c>
      <c r="B38" s="8">
        <v>1323729.1599999999</v>
      </c>
      <c r="D38" s="34"/>
      <c r="E38" s="27"/>
      <c r="F38" s="28"/>
      <c r="G38" s="35"/>
      <c r="H38" s="34"/>
      <c r="I38" s="15" t="s">
        <v>375</v>
      </c>
      <c r="J38" s="48">
        <f>SUMIF(A$13:A$74,I38,B$13:B$74)</f>
        <v>728261.51</v>
      </c>
      <c r="K38" s="42">
        <f t="shared" si="1"/>
        <v>3.649758618820892E-3</v>
      </c>
      <c r="L38" s="34"/>
      <c r="M38" s="13"/>
      <c r="N38" s="47" t="s">
        <v>22</v>
      </c>
      <c r="O38" s="16">
        <v>8017448.0800000001</v>
      </c>
      <c r="P38" s="54">
        <f>O38/O37</f>
        <v>1</v>
      </c>
      <c r="Q38" s="12"/>
    </row>
    <row r="39" spans="1:17" x14ac:dyDescent="0.3">
      <c r="A39" s="5" t="s">
        <v>375</v>
      </c>
      <c r="B39" s="8">
        <v>728261.51</v>
      </c>
      <c r="D39" s="34"/>
      <c r="E39" s="27"/>
      <c r="F39" s="28"/>
      <c r="G39" s="35"/>
      <c r="H39" s="34"/>
      <c r="I39" s="15" t="s">
        <v>376</v>
      </c>
      <c r="J39" s="48">
        <f>SUMIF(A$13:A$74,I39,B$13:B$74)</f>
        <v>609594.82999999996</v>
      </c>
      <c r="K39" s="42">
        <f t="shared" si="1"/>
        <v>3.0550481581556551E-3</v>
      </c>
      <c r="L39" s="34"/>
      <c r="Q39" s="12"/>
    </row>
    <row r="40" spans="1:17" x14ac:dyDescent="0.3">
      <c r="A40" s="5" t="s">
        <v>373</v>
      </c>
      <c r="B40" s="8">
        <v>950838.51</v>
      </c>
      <c r="D40" s="34"/>
      <c r="E40" s="27"/>
      <c r="F40" s="28"/>
      <c r="G40" s="35"/>
      <c r="H40" s="34"/>
      <c r="I40" s="15" t="s">
        <v>377</v>
      </c>
      <c r="J40" s="48">
        <f>SUMIF(A$13:A$74,I40,B$13:B$74)</f>
        <v>510632.59</v>
      </c>
      <c r="K40" s="42">
        <f t="shared" si="1"/>
        <v>2.5590885565314786E-3</v>
      </c>
      <c r="L40" s="34"/>
      <c r="N40" s="27"/>
      <c r="O40" s="33"/>
      <c r="P40" s="35"/>
    </row>
    <row r="41" spans="1:17" x14ac:dyDescent="0.3">
      <c r="A41" s="5" t="s">
        <v>381</v>
      </c>
      <c r="B41" s="8">
        <v>158219.53</v>
      </c>
      <c r="D41" s="34"/>
      <c r="E41" s="37"/>
      <c r="F41" s="38"/>
      <c r="G41" s="39"/>
      <c r="H41" s="34"/>
      <c r="I41" s="15" t="s">
        <v>378</v>
      </c>
      <c r="J41" s="48">
        <f>SUMIF(A$13:A$74,I41,B$13:B$74)</f>
        <v>426191.04</v>
      </c>
      <c r="K41" s="42">
        <f t="shared" si="1"/>
        <v>2.1359009094195293E-3</v>
      </c>
      <c r="L41" s="34"/>
      <c r="N41" s="27"/>
      <c r="O41" s="33"/>
      <c r="P41" s="35"/>
    </row>
    <row r="42" spans="1:17" x14ac:dyDescent="0.3">
      <c r="A42" s="5" t="s">
        <v>376</v>
      </c>
      <c r="B42" s="8">
        <v>609594.82999999996</v>
      </c>
      <c r="D42" s="34"/>
      <c r="E42" s="34"/>
      <c r="F42" s="34"/>
      <c r="G42" s="34"/>
      <c r="H42" s="34"/>
      <c r="I42" s="15" t="s">
        <v>379</v>
      </c>
      <c r="J42" s="48">
        <f>SUMIF(A$13:A$74,I42,B$13:B$74)</f>
        <v>331091.75</v>
      </c>
      <c r="K42" s="42">
        <f t="shared" si="1"/>
        <v>1.6593008851765241E-3</v>
      </c>
      <c r="L42" s="34"/>
      <c r="M42" s="36"/>
      <c r="N42" s="14"/>
      <c r="O42" s="30"/>
      <c r="P42" s="34"/>
    </row>
    <row r="43" spans="1:17" x14ac:dyDescent="0.3">
      <c r="A43" s="5" t="s">
        <v>380</v>
      </c>
      <c r="B43" s="8">
        <v>209599.69</v>
      </c>
      <c r="D43" s="34"/>
      <c r="E43" s="34"/>
      <c r="F43" s="34"/>
      <c r="G43" s="34"/>
      <c r="H43" s="34"/>
      <c r="I43" s="15" t="s">
        <v>380</v>
      </c>
      <c r="J43" s="48">
        <f>SUMIF(A$13:A$74,I43,B$13:B$74)</f>
        <v>209599.69</v>
      </c>
      <c r="K43" s="42">
        <f t="shared" si="1"/>
        <v>1.0504307375515248E-3</v>
      </c>
      <c r="L43" s="34"/>
      <c r="M43" s="34"/>
      <c r="N43" s="27"/>
      <c r="O43" s="33"/>
      <c r="P43" s="35"/>
    </row>
    <row r="44" spans="1:17" x14ac:dyDescent="0.3">
      <c r="A44" s="4" t="s">
        <v>31</v>
      </c>
      <c r="B44" s="8">
        <v>57952</v>
      </c>
      <c r="D44" s="34"/>
      <c r="E44" s="34"/>
      <c r="F44" s="34"/>
      <c r="G44" s="34"/>
      <c r="H44" s="34"/>
      <c r="I44" s="15" t="s">
        <v>381</v>
      </c>
      <c r="J44" s="48">
        <f>SUMIF(A$13:A$74,I44,B$13:B$74)</f>
        <v>158219.53</v>
      </c>
      <c r="K44" s="42">
        <f t="shared" si="1"/>
        <v>7.9293369943894286E-4</v>
      </c>
      <c r="L44" s="34"/>
    </row>
    <row r="45" spans="1:17" x14ac:dyDescent="0.3">
      <c r="A45" s="5" t="s">
        <v>402</v>
      </c>
      <c r="B45" s="8">
        <v>57952</v>
      </c>
      <c r="D45" s="34"/>
      <c r="E45" s="34"/>
      <c r="F45" s="34"/>
      <c r="G45" s="34"/>
      <c r="H45" s="34"/>
      <c r="I45" s="15" t="s">
        <v>401</v>
      </c>
      <c r="J45" s="48">
        <f>SUMIF(A$13:A$74,I45,B$13:B$74)</f>
        <v>136989.85999999999</v>
      </c>
      <c r="K45" s="42">
        <f t="shared" si="1"/>
        <v>6.8653899095404245E-4</v>
      </c>
      <c r="L45" s="34"/>
    </row>
    <row r="46" spans="1:17" x14ac:dyDescent="0.3">
      <c r="A46" s="4" t="s">
        <v>29</v>
      </c>
      <c r="B46" s="8">
        <v>3821798.21</v>
      </c>
      <c r="D46" s="34"/>
      <c r="E46" s="34"/>
      <c r="F46" s="34"/>
      <c r="G46" s="34"/>
      <c r="H46" s="34"/>
      <c r="I46" s="15" t="s">
        <v>402</v>
      </c>
      <c r="J46" s="48">
        <f>SUMIF(A$13:A$74,I46,B$13:B$74)</f>
        <v>57952</v>
      </c>
      <c r="K46" s="42">
        <f t="shared" si="1"/>
        <v>2.9043250065200941E-4</v>
      </c>
      <c r="L46" s="34"/>
    </row>
    <row r="47" spans="1:17" x14ac:dyDescent="0.3">
      <c r="A47" s="5" t="s">
        <v>400</v>
      </c>
      <c r="B47" s="8">
        <v>3821798.21</v>
      </c>
      <c r="D47" s="34"/>
      <c r="E47" s="34"/>
      <c r="F47" s="34"/>
      <c r="G47" s="34"/>
      <c r="H47" s="34"/>
      <c r="I47" s="15" t="s">
        <v>68</v>
      </c>
      <c r="J47" s="48">
        <f>SUMIF(A$13:A$74,I47,B$13:B$74)</f>
        <v>49950</v>
      </c>
      <c r="K47" s="42">
        <f t="shared" si="1"/>
        <v>2.5032964190308996E-4</v>
      </c>
      <c r="L47" s="34"/>
    </row>
    <row r="48" spans="1:17" x14ac:dyDescent="0.3">
      <c r="A48" s="4" t="s">
        <v>36</v>
      </c>
      <c r="B48" s="8">
        <v>178329.60000000001</v>
      </c>
      <c r="D48" s="34"/>
      <c r="E48" s="34"/>
      <c r="F48" s="34"/>
      <c r="G48" s="34"/>
      <c r="H48" s="34"/>
      <c r="I48" s="15" t="s">
        <v>395</v>
      </c>
      <c r="J48" s="48">
        <f>SUMIF(A$13:A$74,I48,B$13:B$74)</f>
        <v>33432</v>
      </c>
      <c r="K48" s="42">
        <f t="shared" si="1"/>
        <v>1.6754795972180386E-4</v>
      </c>
      <c r="L48" s="34"/>
    </row>
    <row r="49" spans="1:16" x14ac:dyDescent="0.3">
      <c r="A49" s="5" t="s">
        <v>370</v>
      </c>
      <c r="B49" s="8">
        <v>178329.60000000001</v>
      </c>
      <c r="D49" s="34"/>
      <c r="E49" s="34"/>
      <c r="F49" s="34"/>
      <c r="G49" s="34"/>
      <c r="H49" s="34"/>
      <c r="I49" s="15" t="s">
        <v>382</v>
      </c>
      <c r="J49" s="48">
        <f>SUMIF(A$13:A$74,I49,B$13:B$74)</f>
        <v>21246.5</v>
      </c>
      <c r="K49" s="42">
        <f t="shared" si="1"/>
        <v>1.0647905378766767E-4</v>
      </c>
      <c r="L49" s="34"/>
    </row>
    <row r="50" spans="1:16" x14ac:dyDescent="0.3">
      <c r="A50" s="4" t="s">
        <v>18</v>
      </c>
      <c r="B50" s="8">
        <v>136989.85999999999</v>
      </c>
      <c r="D50" s="34"/>
      <c r="E50" s="34"/>
      <c r="F50" s="34"/>
      <c r="G50" s="34"/>
      <c r="H50" s="34"/>
      <c r="I50" s="15" t="s">
        <v>383</v>
      </c>
      <c r="J50" s="48">
        <f>SUMIF(A$13:A$74,I50,B$13:B$74)</f>
        <v>19060.23</v>
      </c>
      <c r="K50" s="42">
        <f t="shared" si="1"/>
        <v>9.5522333343153791E-5</v>
      </c>
      <c r="L50" s="34"/>
      <c r="M50" s="34"/>
      <c r="N50" s="27"/>
      <c r="O50" s="33"/>
      <c r="P50" s="35"/>
    </row>
    <row r="51" spans="1:16" x14ac:dyDescent="0.3">
      <c r="A51" s="5" t="s">
        <v>401</v>
      </c>
      <c r="B51" s="8">
        <v>136989.85999999999</v>
      </c>
      <c r="D51" s="34"/>
      <c r="E51" s="34"/>
      <c r="F51" s="34"/>
      <c r="G51" s="34"/>
      <c r="H51" s="34"/>
      <c r="I51" s="15" t="s">
        <v>397</v>
      </c>
      <c r="J51" s="48">
        <f>SUMIF(A$13:A$74,I51,B$13:B$74)</f>
        <v>17800</v>
      </c>
      <c r="K51" s="42">
        <f t="shared" si="1"/>
        <v>8.9206559076576605E-5</v>
      </c>
      <c r="L51" s="34"/>
      <c r="M51" s="36"/>
      <c r="N51" s="14"/>
      <c r="O51" s="30"/>
      <c r="P51" s="34"/>
    </row>
    <row r="52" spans="1:16" ht="15" thickBot="1" x14ac:dyDescent="0.35">
      <c r="A52" s="4" t="s">
        <v>22</v>
      </c>
      <c r="B52" s="8">
        <v>44880558.700000003</v>
      </c>
      <c r="D52" s="34"/>
      <c r="E52" s="34"/>
      <c r="F52" s="34"/>
      <c r="G52" s="34"/>
      <c r="H52" s="34"/>
      <c r="I52" s="44" t="s">
        <v>579</v>
      </c>
      <c r="J52" s="32">
        <f>SUM(J13:J51)</f>
        <v>199536897.10999998</v>
      </c>
      <c r="K52" s="49">
        <f>SUM(K13:K51)</f>
        <v>1</v>
      </c>
      <c r="L52" s="34"/>
      <c r="M52" s="34"/>
      <c r="N52" s="27"/>
      <c r="O52" s="33"/>
      <c r="P52" s="35"/>
    </row>
    <row r="53" spans="1:16" x14ac:dyDescent="0.3">
      <c r="A53" s="5" t="s">
        <v>367</v>
      </c>
      <c r="B53" s="8">
        <v>8253503.3399999999</v>
      </c>
      <c r="D53" s="34"/>
      <c r="E53" s="34"/>
      <c r="F53" s="34"/>
      <c r="G53" s="34"/>
      <c r="H53" s="34"/>
      <c r="I53" s="5"/>
      <c r="J53" s="29"/>
      <c r="K53" s="35"/>
      <c r="L53" s="34"/>
      <c r="M53" s="36"/>
      <c r="N53" s="14"/>
      <c r="O53" s="30"/>
      <c r="P53" s="34"/>
    </row>
    <row r="54" spans="1:16" x14ac:dyDescent="0.3">
      <c r="A54" s="5" t="s">
        <v>384</v>
      </c>
      <c r="B54" s="8">
        <v>8095024.7999999998</v>
      </c>
      <c r="D54" s="34"/>
      <c r="E54" s="34"/>
      <c r="F54" s="34"/>
      <c r="G54" s="34"/>
      <c r="H54" s="34"/>
      <c r="I54" s="7"/>
      <c r="J54" s="29"/>
      <c r="K54" s="35"/>
      <c r="L54" s="34"/>
    </row>
    <row r="55" spans="1:16" x14ac:dyDescent="0.3">
      <c r="A55" s="5" t="s">
        <v>385</v>
      </c>
      <c r="B55" s="8">
        <v>8017448.0800000001</v>
      </c>
      <c r="D55" s="34"/>
      <c r="E55" s="34"/>
      <c r="F55" s="34"/>
      <c r="G55" s="34"/>
      <c r="H55" s="34"/>
      <c r="J55" s="29"/>
      <c r="K55" s="35"/>
      <c r="L55" s="34"/>
      <c r="M55" s="36"/>
      <c r="N55" s="14"/>
      <c r="O55" s="30"/>
      <c r="P55" s="34"/>
    </row>
    <row r="56" spans="1:16" x14ac:dyDescent="0.3">
      <c r="A56" s="5" t="s">
        <v>365</v>
      </c>
      <c r="B56" s="8">
        <v>9272014.1999999993</v>
      </c>
      <c r="D56" s="34"/>
      <c r="E56" s="34"/>
      <c r="F56" s="34"/>
      <c r="G56" s="34"/>
      <c r="H56" s="34"/>
      <c r="I56" s="7"/>
      <c r="J56" s="29"/>
      <c r="K56" s="35"/>
      <c r="L56" s="34"/>
      <c r="M56" s="34"/>
      <c r="N56" s="27"/>
      <c r="O56" s="33"/>
      <c r="P56" s="35"/>
    </row>
    <row r="57" spans="1:16" x14ac:dyDescent="0.3">
      <c r="A57" s="5" t="s">
        <v>390</v>
      </c>
      <c r="B57" s="8">
        <v>1382879.6</v>
      </c>
      <c r="D57" s="34"/>
      <c r="E57" s="34"/>
      <c r="F57" s="34"/>
      <c r="G57" s="34"/>
      <c r="H57" s="34"/>
      <c r="J57" s="29"/>
      <c r="K57" s="35"/>
      <c r="L57" s="34"/>
      <c r="M57" s="36"/>
      <c r="N57" s="14"/>
      <c r="O57" s="30"/>
      <c r="P57" s="34"/>
    </row>
    <row r="58" spans="1:16" x14ac:dyDescent="0.3">
      <c r="A58" s="5" t="s">
        <v>388</v>
      </c>
      <c r="B58" s="8">
        <v>1769979.2</v>
      </c>
      <c r="D58" s="34"/>
      <c r="E58" s="34"/>
      <c r="F58" s="34"/>
      <c r="G58" s="34"/>
      <c r="H58" s="34"/>
      <c r="J58" s="29"/>
      <c r="K58" s="35"/>
      <c r="L58" s="34"/>
      <c r="M58" s="34"/>
      <c r="N58" s="27"/>
      <c r="O58" s="33"/>
      <c r="P58" s="35"/>
    </row>
    <row r="59" spans="1:16" x14ac:dyDescent="0.3">
      <c r="A59" s="5" t="s">
        <v>387</v>
      </c>
      <c r="B59" s="8">
        <v>2946352.8</v>
      </c>
      <c r="D59" s="34"/>
      <c r="E59" s="34"/>
      <c r="F59" s="34"/>
      <c r="G59" s="34"/>
      <c r="H59" s="34"/>
      <c r="I59" s="7"/>
      <c r="J59" s="29"/>
      <c r="K59" s="35"/>
      <c r="L59" s="34"/>
      <c r="M59" s="36"/>
      <c r="N59" s="14"/>
      <c r="O59" s="30"/>
      <c r="P59" s="34"/>
    </row>
    <row r="60" spans="1:16" x14ac:dyDescent="0.3">
      <c r="A60" s="5" t="s">
        <v>389</v>
      </c>
      <c r="B60" s="8">
        <v>1601061.28</v>
      </c>
      <c r="D60" s="34"/>
      <c r="E60" s="34"/>
      <c r="F60" s="34"/>
      <c r="G60" s="34"/>
      <c r="H60" s="34"/>
      <c r="J60" s="29"/>
      <c r="K60" s="35"/>
      <c r="L60" s="34"/>
      <c r="M60" s="36"/>
      <c r="N60" s="27"/>
      <c r="O60" s="33"/>
      <c r="P60" s="35"/>
    </row>
    <row r="61" spans="1:16" x14ac:dyDescent="0.3">
      <c r="A61" s="5" t="s">
        <v>386</v>
      </c>
      <c r="B61" s="8">
        <v>3542295.4</v>
      </c>
      <c r="D61" s="34"/>
      <c r="E61" s="34"/>
      <c r="F61" s="34"/>
      <c r="G61" s="34"/>
      <c r="H61" s="34"/>
      <c r="I61" s="7"/>
      <c r="J61" s="29"/>
      <c r="K61" s="35"/>
      <c r="L61" s="34"/>
      <c r="M61" s="34"/>
      <c r="N61" s="27"/>
      <c r="O61" s="33"/>
      <c r="P61" s="35"/>
    </row>
    <row r="62" spans="1:16" x14ac:dyDescent="0.3">
      <c r="A62" s="4" t="s">
        <v>7</v>
      </c>
      <c r="B62" s="8">
        <v>1817576.07</v>
      </c>
      <c r="D62" s="34"/>
      <c r="E62" s="34"/>
      <c r="F62" s="34"/>
      <c r="G62" s="34"/>
      <c r="H62" s="34"/>
      <c r="J62" s="29"/>
      <c r="K62" s="35"/>
      <c r="L62" s="34"/>
      <c r="M62" s="36"/>
      <c r="N62" s="14"/>
      <c r="O62" s="30"/>
      <c r="P62" s="34"/>
    </row>
    <row r="63" spans="1:16" x14ac:dyDescent="0.3">
      <c r="A63" s="5" t="s">
        <v>391</v>
      </c>
      <c r="B63" s="8">
        <v>1817576.07</v>
      </c>
      <c r="D63" s="34"/>
      <c r="E63" s="34"/>
      <c r="F63" s="34"/>
      <c r="G63" s="34"/>
      <c r="H63" s="34"/>
      <c r="J63" s="29"/>
      <c r="K63" s="35"/>
      <c r="L63" s="34"/>
      <c r="M63" s="34"/>
      <c r="N63" s="27"/>
      <c r="O63" s="33"/>
      <c r="P63" s="35"/>
    </row>
    <row r="64" spans="1:16" x14ac:dyDescent="0.3">
      <c r="A64" s="4" t="s">
        <v>33</v>
      </c>
      <c r="B64" s="8">
        <v>9414901.3599999994</v>
      </c>
      <c r="D64" s="34"/>
      <c r="E64" s="34"/>
      <c r="F64" s="34"/>
      <c r="G64" s="34"/>
      <c r="H64" s="34"/>
      <c r="J64" s="29"/>
      <c r="K64" s="35"/>
      <c r="L64" s="34"/>
      <c r="M64" s="34"/>
      <c r="N64" s="34"/>
      <c r="O64" s="34"/>
      <c r="P64" s="34"/>
    </row>
    <row r="65" spans="1:16" x14ac:dyDescent="0.3">
      <c r="A65" s="5" t="s">
        <v>399</v>
      </c>
      <c r="B65" s="8">
        <v>9414901.3599999994</v>
      </c>
      <c r="D65" s="34"/>
      <c r="E65" s="34"/>
      <c r="F65" s="34"/>
      <c r="G65" s="34"/>
      <c r="H65" s="34"/>
      <c r="J65" s="29"/>
      <c r="K65" s="35"/>
      <c r="L65" s="34"/>
      <c r="M65" s="34"/>
      <c r="N65" s="34"/>
      <c r="O65" s="34"/>
      <c r="P65" s="34"/>
    </row>
    <row r="66" spans="1:16" x14ac:dyDescent="0.3">
      <c r="A66" s="4" t="s">
        <v>27</v>
      </c>
      <c r="B66" s="8">
        <v>27797801.82</v>
      </c>
      <c r="D66" s="34"/>
      <c r="E66" s="34"/>
      <c r="F66" s="34"/>
      <c r="G66" s="34"/>
      <c r="H66" s="34"/>
      <c r="I66" s="5"/>
      <c r="J66" s="29"/>
      <c r="K66" s="35"/>
      <c r="L66" s="34"/>
      <c r="M66" s="34"/>
      <c r="N66" s="34"/>
      <c r="O66" s="34"/>
      <c r="P66" s="34"/>
    </row>
    <row r="67" spans="1:16" x14ac:dyDescent="0.3">
      <c r="A67" s="5" t="s">
        <v>365</v>
      </c>
      <c r="B67" s="8">
        <v>4231103.58</v>
      </c>
      <c r="D67" s="34"/>
      <c r="E67" s="34"/>
      <c r="F67" s="34"/>
      <c r="G67" s="34"/>
      <c r="H67" s="34"/>
      <c r="I67" s="7"/>
      <c r="J67" s="29"/>
      <c r="K67" s="35"/>
      <c r="L67" s="34"/>
      <c r="M67" s="34"/>
      <c r="N67" s="34"/>
      <c r="O67" s="34"/>
      <c r="P67" s="34"/>
    </row>
    <row r="68" spans="1:16" x14ac:dyDescent="0.3">
      <c r="A68" s="5" t="s">
        <v>391</v>
      </c>
      <c r="B68" s="8">
        <v>23566698.239999998</v>
      </c>
      <c r="D68" s="34"/>
      <c r="E68" s="34"/>
      <c r="F68" s="34"/>
      <c r="G68" s="34"/>
      <c r="H68" s="34"/>
      <c r="I68" s="5"/>
      <c r="J68" s="29"/>
      <c r="K68" s="35"/>
      <c r="L68" s="34"/>
      <c r="M68" s="34"/>
      <c r="N68" s="34"/>
      <c r="O68" s="34"/>
      <c r="P68" s="34"/>
    </row>
    <row r="69" spans="1:16" x14ac:dyDescent="0.3">
      <c r="A69" s="4" t="s">
        <v>55</v>
      </c>
      <c r="B69" s="8">
        <v>217790.64</v>
      </c>
      <c r="D69" s="34"/>
      <c r="E69" s="34"/>
      <c r="F69" s="34"/>
      <c r="G69" s="34"/>
      <c r="H69" s="34"/>
      <c r="I69" s="5"/>
      <c r="J69" s="29"/>
      <c r="K69" s="35"/>
      <c r="L69" s="34"/>
      <c r="M69" s="34"/>
      <c r="N69" s="34"/>
      <c r="O69" s="34"/>
      <c r="P69" s="34"/>
    </row>
    <row r="70" spans="1:16" x14ac:dyDescent="0.3">
      <c r="A70" s="5" t="s">
        <v>400</v>
      </c>
      <c r="B70" s="8">
        <v>217790.64</v>
      </c>
      <c r="D70" s="34"/>
      <c r="E70" s="34"/>
      <c r="F70" s="34"/>
      <c r="G70" s="34"/>
      <c r="H70" s="34"/>
      <c r="I70" s="7"/>
      <c r="J70" s="29"/>
      <c r="K70" s="35"/>
      <c r="L70" s="34"/>
      <c r="M70" s="34"/>
      <c r="N70" s="34"/>
      <c r="O70" s="34"/>
      <c r="P70" s="34"/>
    </row>
    <row r="71" spans="1:16" x14ac:dyDescent="0.3">
      <c r="A71" s="4" t="s">
        <v>54</v>
      </c>
      <c r="B71" s="8">
        <v>20216360.210000001</v>
      </c>
      <c r="D71" s="34"/>
      <c r="E71" s="34"/>
      <c r="F71" s="34"/>
      <c r="G71" s="34"/>
      <c r="H71" s="34"/>
      <c r="I71" s="5"/>
      <c r="J71" s="29"/>
      <c r="K71" s="35"/>
      <c r="L71" s="34"/>
      <c r="M71" s="34"/>
      <c r="N71" s="34"/>
      <c r="O71" s="34"/>
      <c r="P71" s="34"/>
    </row>
    <row r="72" spans="1:16" x14ac:dyDescent="0.3">
      <c r="A72" s="5" t="s">
        <v>392</v>
      </c>
      <c r="B72" s="8">
        <v>8204678.54</v>
      </c>
      <c r="D72" s="34"/>
      <c r="E72" s="34"/>
      <c r="F72" s="34"/>
      <c r="G72" s="34"/>
      <c r="H72" s="34"/>
      <c r="I72" s="5"/>
      <c r="J72" s="29"/>
      <c r="K72" s="35"/>
      <c r="L72" s="34"/>
      <c r="M72" s="34"/>
      <c r="N72" s="34"/>
      <c r="O72" s="34"/>
      <c r="P72" s="34"/>
    </row>
    <row r="73" spans="1:16" x14ac:dyDescent="0.3">
      <c r="A73" s="5" t="s">
        <v>393</v>
      </c>
      <c r="B73" s="8">
        <v>5231366.1500000004</v>
      </c>
      <c r="D73" s="34"/>
      <c r="E73" s="34"/>
      <c r="F73" s="34"/>
      <c r="G73" s="34"/>
      <c r="H73" s="34"/>
      <c r="I73" s="5"/>
      <c r="J73" s="29"/>
      <c r="K73" s="35"/>
      <c r="L73" s="34"/>
      <c r="M73" s="34"/>
      <c r="N73" s="34"/>
      <c r="O73" s="34"/>
      <c r="P73" s="34"/>
    </row>
    <row r="74" spans="1:16" x14ac:dyDescent="0.3">
      <c r="A74" s="5" t="s">
        <v>388</v>
      </c>
      <c r="B74" s="8">
        <v>6780315.5199999996</v>
      </c>
      <c r="D74" s="34"/>
      <c r="E74" s="34"/>
      <c r="F74" s="34"/>
      <c r="G74" s="34"/>
      <c r="H74" s="34"/>
      <c r="I74" s="5"/>
      <c r="J74" s="29"/>
      <c r="K74" s="35"/>
      <c r="L74" s="34"/>
      <c r="M74" s="34"/>
      <c r="N74" s="34"/>
      <c r="O74" s="34"/>
      <c r="P74" s="34"/>
    </row>
    <row r="75" spans="1:16" x14ac:dyDescent="0.3">
      <c r="A75" s="9" t="s">
        <v>403</v>
      </c>
      <c r="B75" s="10">
        <v>55727341.340000004</v>
      </c>
      <c r="D75" s="34"/>
      <c r="E75" s="34"/>
      <c r="F75" s="34"/>
      <c r="G75" s="34"/>
      <c r="H75" s="34"/>
      <c r="I75" s="5"/>
      <c r="J75" s="29"/>
      <c r="K75" s="35"/>
      <c r="L75" s="34"/>
      <c r="M75" s="34"/>
      <c r="N75" s="34"/>
      <c r="O75" s="34"/>
      <c r="P75" s="34"/>
    </row>
    <row r="76" spans="1:16" x14ac:dyDescent="0.3">
      <c r="A76" s="9" t="s">
        <v>411</v>
      </c>
      <c r="B76" s="10">
        <v>66863582.690000005</v>
      </c>
      <c r="D76" s="34"/>
      <c r="E76" s="34"/>
      <c r="F76" s="34"/>
      <c r="G76" s="34"/>
      <c r="H76" s="34"/>
      <c r="I76" s="5"/>
      <c r="J76" s="29"/>
      <c r="K76" s="35"/>
      <c r="L76" s="34"/>
      <c r="M76" s="34"/>
      <c r="N76" s="34"/>
      <c r="O76" s="34"/>
      <c r="P76" s="34"/>
    </row>
    <row r="77" spans="1:16" x14ac:dyDescent="0.3">
      <c r="A77" s="9" t="s">
        <v>435</v>
      </c>
      <c r="B77" s="10">
        <v>538133007.75000012</v>
      </c>
      <c r="D77" s="34"/>
      <c r="E77" s="34"/>
      <c r="F77" s="34"/>
      <c r="G77" s="34"/>
      <c r="H77" s="34"/>
      <c r="I77" s="7"/>
      <c r="J77" s="29"/>
      <c r="K77" s="35"/>
      <c r="L77" s="34"/>
      <c r="M77" s="34"/>
      <c r="N77" s="34"/>
      <c r="O77" s="34"/>
      <c r="P77" s="34"/>
    </row>
    <row r="78" spans="1:16" x14ac:dyDescent="0.3">
      <c r="A78" s="9" t="s">
        <v>520</v>
      </c>
      <c r="B78" s="10">
        <v>58988</v>
      </c>
      <c r="D78" s="34"/>
      <c r="E78" s="34"/>
      <c r="F78" s="34"/>
      <c r="G78" s="34"/>
      <c r="H78" s="34"/>
      <c r="I78" s="5"/>
      <c r="J78" s="29"/>
      <c r="K78" s="35"/>
      <c r="L78" s="34"/>
      <c r="M78" s="34"/>
      <c r="N78" s="34"/>
      <c r="O78" s="34"/>
      <c r="P78" s="34"/>
    </row>
    <row r="79" spans="1:16" x14ac:dyDescent="0.3">
      <c r="A79" s="9" t="s">
        <v>523</v>
      </c>
      <c r="B79" s="10">
        <v>470368137.71000004</v>
      </c>
      <c r="D79" s="34"/>
      <c r="E79" s="34"/>
      <c r="F79" s="34"/>
      <c r="G79" s="34"/>
      <c r="H79" s="34"/>
      <c r="I79" s="5"/>
      <c r="J79" s="29"/>
      <c r="K79" s="35"/>
      <c r="L79" s="34"/>
      <c r="M79" s="34"/>
      <c r="N79" s="34"/>
      <c r="O79" s="34"/>
      <c r="P79" s="34"/>
    </row>
    <row r="80" spans="1:16" x14ac:dyDescent="0.3">
      <c r="A80" s="3" t="s">
        <v>522</v>
      </c>
      <c r="B80" s="8">
        <v>3182462249.0099988</v>
      </c>
      <c r="D80" s="34"/>
      <c r="E80" s="34"/>
      <c r="F80" s="34"/>
      <c r="G80" s="34"/>
      <c r="H80" s="34"/>
      <c r="I80" s="5"/>
      <c r="J80" s="29"/>
      <c r="K80" s="35"/>
      <c r="L80" s="34"/>
      <c r="M80" s="34"/>
      <c r="N80" s="34"/>
      <c r="O80" s="34"/>
      <c r="P80" s="34"/>
    </row>
    <row r="81" spans="2:16" x14ac:dyDescent="0.3">
      <c r="B81"/>
      <c r="D81" s="34"/>
      <c r="E81" s="34"/>
      <c r="F81" s="34"/>
      <c r="G81" s="34"/>
      <c r="H81" s="34"/>
      <c r="I81" s="5"/>
      <c r="J81" s="29"/>
      <c r="K81" s="35"/>
      <c r="L81" s="34"/>
      <c r="M81" s="34"/>
      <c r="N81" s="34"/>
      <c r="O81" s="34"/>
      <c r="P81" s="34"/>
    </row>
    <row r="82" spans="2:16" x14ac:dyDescent="0.3">
      <c r="B82"/>
      <c r="D82" s="34"/>
      <c r="E82" s="34"/>
      <c r="F82" s="34"/>
      <c r="G82" s="34"/>
      <c r="H82" s="34"/>
      <c r="I82" s="5"/>
      <c r="J82" s="29"/>
      <c r="K82" s="35"/>
      <c r="L82" s="34"/>
      <c r="M82" s="34"/>
      <c r="N82" s="34"/>
      <c r="O82" s="34"/>
      <c r="P82" s="34"/>
    </row>
    <row r="83" spans="2:16" x14ac:dyDescent="0.3">
      <c r="B83"/>
      <c r="D83" s="34"/>
      <c r="E83" s="34"/>
      <c r="F83" s="34"/>
      <c r="G83" s="34"/>
      <c r="H83" s="34"/>
      <c r="I83" s="7"/>
      <c r="J83" s="29"/>
      <c r="K83" s="35"/>
      <c r="L83" s="34"/>
      <c r="M83" s="34"/>
      <c r="N83" s="34"/>
      <c r="O83" s="34"/>
      <c r="P83" s="34"/>
    </row>
    <row r="84" spans="2:16" x14ac:dyDescent="0.3">
      <c r="B84"/>
      <c r="D84" s="34"/>
      <c r="E84" s="34"/>
      <c r="F84" s="34"/>
      <c r="G84" s="34"/>
      <c r="H84" s="34"/>
      <c r="I84" s="5"/>
      <c r="J84" s="29"/>
      <c r="K84" s="35"/>
      <c r="L84" s="34"/>
      <c r="M84" s="34"/>
      <c r="N84" s="34"/>
      <c r="O84" s="34"/>
      <c r="P84" s="34"/>
    </row>
    <row r="85" spans="2:16" x14ac:dyDescent="0.3">
      <c r="B85"/>
      <c r="D85" s="34"/>
      <c r="E85" s="34"/>
      <c r="F85" s="34"/>
      <c r="G85" s="34"/>
      <c r="H85" s="34"/>
      <c r="I85" s="7"/>
      <c r="J85" s="29"/>
      <c r="K85" s="35"/>
      <c r="L85" s="34"/>
      <c r="M85" s="34"/>
      <c r="N85" s="34"/>
      <c r="O85" s="34"/>
      <c r="P85" s="34"/>
    </row>
    <row r="86" spans="2:16" x14ac:dyDescent="0.3">
      <c r="B86"/>
      <c r="D86" s="34"/>
      <c r="E86" s="34"/>
      <c r="F86" s="34"/>
      <c r="G86" s="34"/>
      <c r="H86" s="34"/>
      <c r="I86" s="5"/>
      <c r="J86" s="29"/>
      <c r="K86" s="35"/>
      <c r="L86" s="34"/>
      <c r="M86" s="34"/>
      <c r="N86" s="34"/>
      <c r="O86" s="34"/>
      <c r="P86" s="34"/>
    </row>
    <row r="87" spans="2:16" x14ac:dyDescent="0.3">
      <c r="B87"/>
      <c r="D87" s="34"/>
      <c r="E87" s="34"/>
      <c r="F87" s="34"/>
      <c r="G87" s="34"/>
      <c r="H87" s="34"/>
      <c r="J87" s="29"/>
      <c r="K87" s="35"/>
      <c r="L87" s="34"/>
      <c r="M87" s="34"/>
      <c r="N87" s="34"/>
      <c r="O87" s="34"/>
      <c r="P87" s="34"/>
    </row>
    <row r="88" spans="2:16" x14ac:dyDescent="0.3">
      <c r="B88"/>
      <c r="D88" s="34"/>
      <c r="E88" s="34"/>
      <c r="F88" s="34"/>
      <c r="G88" s="34"/>
      <c r="H88" s="34"/>
      <c r="J88" s="29"/>
      <c r="K88" s="35"/>
      <c r="L88" s="34"/>
      <c r="M88" s="34"/>
      <c r="N88" s="34"/>
      <c r="O88" s="34"/>
      <c r="P88" s="34"/>
    </row>
    <row r="89" spans="2:16" x14ac:dyDescent="0.3">
      <c r="B89"/>
      <c r="D89" s="34"/>
      <c r="E89" s="34"/>
      <c r="F89" s="34"/>
      <c r="G89" s="34"/>
      <c r="H89" s="34"/>
      <c r="J89" s="29"/>
      <c r="K89" s="35"/>
      <c r="L89" s="34"/>
      <c r="M89" s="34"/>
      <c r="N89" s="34"/>
      <c r="O89" s="34"/>
      <c r="P89" s="34"/>
    </row>
    <row r="90" spans="2:16" x14ac:dyDescent="0.3">
      <c r="B90"/>
      <c r="D90" s="34"/>
      <c r="E90" s="34"/>
      <c r="F90" s="34"/>
      <c r="G90" s="34"/>
      <c r="H90" s="34"/>
      <c r="J90" s="29"/>
      <c r="K90" s="35"/>
      <c r="L90" s="34"/>
      <c r="M90" s="34"/>
      <c r="N90" s="34"/>
      <c r="O90" s="34"/>
      <c r="P90" s="34"/>
    </row>
    <row r="91" spans="2:16" x14ac:dyDescent="0.3">
      <c r="B91"/>
      <c r="D91" s="34"/>
      <c r="E91" s="34"/>
      <c r="F91" s="34"/>
      <c r="G91" s="34"/>
      <c r="H91" s="34"/>
      <c r="J91" s="29"/>
      <c r="K91" s="35"/>
      <c r="L91" s="34"/>
      <c r="M91" s="34"/>
      <c r="N91" s="34"/>
      <c r="O91" s="34"/>
      <c r="P91" s="34"/>
    </row>
    <row r="92" spans="2:16" x14ac:dyDescent="0.3">
      <c r="B92"/>
      <c r="D92" s="34"/>
      <c r="E92" s="34"/>
      <c r="F92" s="34"/>
      <c r="G92" s="34"/>
      <c r="H92" s="34"/>
      <c r="J92" s="29"/>
      <c r="K92" s="35"/>
      <c r="L92" s="34"/>
      <c r="M92" s="34"/>
      <c r="N92" s="34"/>
      <c r="O92" s="34"/>
      <c r="P92" s="34"/>
    </row>
    <row r="93" spans="2:16" x14ac:dyDescent="0.3">
      <c r="B93"/>
      <c r="D93" s="34"/>
      <c r="E93" s="34"/>
      <c r="F93" s="34"/>
      <c r="G93" s="34"/>
      <c r="H93" s="34"/>
      <c r="J93" s="29"/>
      <c r="K93" s="35"/>
      <c r="L93" s="34"/>
      <c r="M93" s="34"/>
      <c r="N93" s="34"/>
      <c r="O93" s="34"/>
      <c r="P93" s="34"/>
    </row>
    <row r="94" spans="2:16" x14ac:dyDescent="0.3">
      <c r="B94"/>
      <c r="D94" s="34"/>
      <c r="E94" s="34"/>
      <c r="F94" s="34"/>
      <c r="G94" s="34"/>
      <c r="H94" s="34"/>
      <c r="J94" s="29"/>
      <c r="K94" s="35"/>
      <c r="L94" s="34"/>
      <c r="M94" s="34"/>
      <c r="N94" s="34"/>
      <c r="O94" s="34"/>
      <c r="P94" s="34"/>
    </row>
    <row r="95" spans="2:16" x14ac:dyDescent="0.3">
      <c r="B95"/>
      <c r="D95" s="34"/>
      <c r="E95" s="34"/>
      <c r="F95" s="34"/>
      <c r="G95" s="34"/>
      <c r="H95" s="34"/>
      <c r="J95" s="29"/>
      <c r="K95" s="35"/>
      <c r="L95" s="34"/>
      <c r="M95" s="34"/>
      <c r="N95" s="34"/>
      <c r="O95" s="34"/>
      <c r="P95" s="34"/>
    </row>
    <row r="96" spans="2:16" x14ac:dyDescent="0.3">
      <c r="B96"/>
      <c r="D96" s="34"/>
      <c r="E96" s="34"/>
      <c r="F96" s="34"/>
      <c r="G96" s="34"/>
      <c r="H96" s="34"/>
      <c r="J96" s="29"/>
      <c r="K96" s="35"/>
      <c r="L96" s="34"/>
      <c r="M96" s="34"/>
      <c r="N96" s="34"/>
      <c r="O96" s="34"/>
      <c r="P96" s="34"/>
    </row>
    <row r="97" spans="2:16" x14ac:dyDescent="0.3">
      <c r="B97"/>
      <c r="D97" s="34"/>
      <c r="E97" s="34"/>
      <c r="F97" s="34"/>
      <c r="G97" s="34"/>
      <c r="H97" s="34"/>
      <c r="I97" s="5"/>
      <c r="J97" s="29"/>
      <c r="K97" s="35"/>
      <c r="L97" s="34"/>
      <c r="M97" s="34"/>
      <c r="N97" s="34"/>
      <c r="O97" s="34"/>
      <c r="P97" s="34"/>
    </row>
    <row r="98" spans="2:16" x14ac:dyDescent="0.3">
      <c r="B98"/>
      <c r="D98" s="34"/>
      <c r="E98" s="34"/>
      <c r="F98" s="34"/>
      <c r="G98" s="34"/>
      <c r="H98" s="34"/>
      <c r="I98" s="7"/>
      <c r="J98" s="29"/>
      <c r="K98" s="35"/>
      <c r="L98" s="34"/>
      <c r="M98" s="34"/>
      <c r="N98" s="34"/>
      <c r="O98" s="34"/>
      <c r="P98" s="34"/>
    </row>
    <row r="99" spans="2:16" x14ac:dyDescent="0.3">
      <c r="B99"/>
      <c r="D99" s="34"/>
      <c r="E99" s="34"/>
      <c r="F99" s="34"/>
      <c r="G99" s="34"/>
      <c r="H99" s="34"/>
      <c r="I99" s="5"/>
      <c r="J99" s="29"/>
      <c r="K99" s="35"/>
      <c r="L99" s="34"/>
      <c r="M99" s="34"/>
      <c r="N99" s="34"/>
      <c r="O99" s="34"/>
      <c r="P99" s="34"/>
    </row>
    <row r="100" spans="2:16" x14ac:dyDescent="0.3">
      <c r="B100"/>
      <c r="D100" s="34"/>
      <c r="E100" s="34"/>
      <c r="F100" s="34"/>
      <c r="G100" s="34"/>
      <c r="H100" s="34"/>
      <c r="I100" s="5"/>
      <c r="J100" s="29"/>
      <c r="K100" s="35"/>
      <c r="L100" s="34"/>
      <c r="M100" s="34"/>
      <c r="N100" s="34"/>
      <c r="O100" s="34"/>
      <c r="P100" s="34"/>
    </row>
    <row r="101" spans="2:16" x14ac:dyDescent="0.3">
      <c r="B101"/>
      <c r="D101" s="34"/>
      <c r="E101" s="34"/>
      <c r="F101" s="34"/>
      <c r="G101" s="34"/>
      <c r="H101" s="34"/>
      <c r="I101" s="5"/>
      <c r="J101" s="29"/>
      <c r="K101" s="35"/>
      <c r="L101" s="34"/>
      <c r="M101" s="34"/>
      <c r="N101" s="34"/>
      <c r="O101" s="34"/>
      <c r="P101" s="34"/>
    </row>
    <row r="102" spans="2:16" x14ac:dyDescent="0.3">
      <c r="B102"/>
      <c r="D102" s="34"/>
      <c r="E102" s="34"/>
      <c r="F102" s="34"/>
      <c r="G102" s="34"/>
      <c r="H102" s="34"/>
      <c r="I102" s="5"/>
      <c r="J102" s="29"/>
      <c r="K102" s="35"/>
      <c r="L102" s="34"/>
      <c r="M102" s="34"/>
      <c r="N102" s="34"/>
      <c r="O102" s="34"/>
      <c r="P102" s="34"/>
    </row>
    <row r="103" spans="2:16" x14ac:dyDescent="0.3">
      <c r="B103"/>
      <c r="D103" s="34"/>
      <c r="E103" s="34"/>
      <c r="F103" s="34"/>
      <c r="G103" s="34"/>
      <c r="H103" s="34"/>
      <c r="I103" s="7"/>
      <c r="J103" s="29"/>
      <c r="K103" s="35"/>
      <c r="L103" s="34"/>
      <c r="M103" s="34"/>
      <c r="N103" s="34"/>
      <c r="O103" s="34"/>
      <c r="P103" s="34"/>
    </row>
    <row r="104" spans="2:16" x14ac:dyDescent="0.3">
      <c r="B104"/>
      <c r="D104" s="34"/>
      <c r="E104" s="34"/>
      <c r="F104" s="34"/>
      <c r="G104" s="34"/>
      <c r="H104" s="34"/>
      <c r="I104" s="5"/>
      <c r="J104" s="29"/>
      <c r="K104" s="35"/>
      <c r="L104" s="34"/>
      <c r="M104" s="34"/>
      <c r="N104" s="34"/>
      <c r="O104" s="34"/>
      <c r="P104" s="34"/>
    </row>
    <row r="105" spans="2:16" x14ac:dyDescent="0.3">
      <c r="B105"/>
      <c r="D105" s="34"/>
      <c r="E105" s="34"/>
      <c r="F105" s="34"/>
      <c r="G105" s="34"/>
      <c r="H105" s="34"/>
      <c r="I105" s="5"/>
      <c r="J105" s="29"/>
      <c r="K105" s="35"/>
      <c r="L105" s="34"/>
      <c r="M105" s="34"/>
      <c r="N105" s="34"/>
      <c r="O105" s="34"/>
      <c r="P105" s="34"/>
    </row>
    <row r="106" spans="2:16" x14ac:dyDescent="0.3">
      <c r="B106"/>
      <c r="D106" s="34"/>
      <c r="E106" s="34"/>
      <c r="F106" s="34"/>
      <c r="G106" s="34"/>
      <c r="H106" s="34"/>
      <c r="I106" s="5"/>
      <c r="J106" s="29"/>
      <c r="K106" s="35"/>
      <c r="L106" s="34"/>
      <c r="M106" s="34"/>
      <c r="N106" s="34"/>
      <c r="O106" s="34"/>
      <c r="P106" s="34"/>
    </row>
    <row r="107" spans="2:16" x14ac:dyDescent="0.3">
      <c r="B107"/>
      <c r="D107" s="34"/>
      <c r="E107" s="34"/>
      <c r="F107" s="34"/>
      <c r="G107" s="34"/>
      <c r="H107" s="34"/>
      <c r="I107" s="5"/>
      <c r="J107" s="29"/>
      <c r="K107" s="35"/>
      <c r="L107" s="34"/>
      <c r="M107" s="34"/>
      <c r="N107" s="34"/>
      <c r="O107" s="34"/>
      <c r="P107" s="34"/>
    </row>
    <row r="108" spans="2:16" x14ac:dyDescent="0.3">
      <c r="B108"/>
      <c r="D108" s="34"/>
      <c r="E108" s="34"/>
      <c r="F108" s="34"/>
      <c r="G108" s="34"/>
      <c r="H108" s="34"/>
      <c r="I108" s="7"/>
      <c r="J108" s="29"/>
      <c r="K108" s="35"/>
      <c r="L108" s="34"/>
      <c r="M108" s="34"/>
      <c r="N108" s="34"/>
      <c r="O108" s="34"/>
      <c r="P108" s="34"/>
    </row>
    <row r="109" spans="2:16" x14ac:dyDescent="0.3">
      <c r="B109"/>
      <c r="D109" s="34"/>
      <c r="E109" s="34"/>
      <c r="F109" s="34"/>
      <c r="G109" s="34"/>
      <c r="H109" s="34"/>
      <c r="I109" s="5"/>
      <c r="J109" s="40"/>
      <c r="K109" s="35"/>
      <c r="L109" s="34"/>
      <c r="M109" s="34"/>
      <c r="N109" s="34"/>
      <c r="O109" s="34"/>
      <c r="P109" s="34"/>
    </row>
    <row r="110" spans="2:16" x14ac:dyDescent="0.3">
      <c r="B110"/>
      <c r="D110" s="34"/>
      <c r="E110" s="34"/>
      <c r="F110" s="34"/>
      <c r="G110" s="34"/>
      <c r="H110" s="34"/>
      <c r="I110" s="5"/>
      <c r="J110" s="34"/>
      <c r="K110" s="34"/>
      <c r="L110" s="34"/>
      <c r="M110" s="34"/>
      <c r="N110" s="34"/>
      <c r="O110" s="34"/>
      <c r="P110" s="34"/>
    </row>
    <row r="111" spans="2:16" x14ac:dyDescent="0.3">
      <c r="B111"/>
      <c r="I111" s="5"/>
    </row>
    <row r="112" spans="2:16" x14ac:dyDescent="0.3">
      <c r="B112"/>
      <c r="I112" s="5"/>
    </row>
    <row r="113" spans="2:9" x14ac:dyDescent="0.3">
      <c r="B113"/>
      <c r="I113" s="5"/>
    </row>
    <row r="114" spans="2:9" x14ac:dyDescent="0.3">
      <c r="B114"/>
      <c r="I114" s="5"/>
    </row>
    <row r="115" spans="2:9" x14ac:dyDescent="0.3">
      <c r="B115"/>
      <c r="I115" s="5"/>
    </row>
    <row r="116" spans="2:9" x14ac:dyDescent="0.3">
      <c r="B116"/>
      <c r="I116" s="5"/>
    </row>
    <row r="117" spans="2:9" x14ac:dyDescent="0.3">
      <c r="B117"/>
      <c r="I117" s="5"/>
    </row>
    <row r="118" spans="2:9" x14ac:dyDescent="0.3">
      <c r="B118"/>
      <c r="I118" s="5"/>
    </row>
    <row r="119" spans="2:9" x14ac:dyDescent="0.3">
      <c r="B119"/>
      <c r="I119" s="7"/>
    </row>
    <row r="120" spans="2:9" x14ac:dyDescent="0.3">
      <c r="B120"/>
      <c r="I120" s="5"/>
    </row>
    <row r="121" spans="2:9" x14ac:dyDescent="0.3">
      <c r="B121"/>
      <c r="I121" s="5"/>
    </row>
    <row r="122" spans="2:9" x14ac:dyDescent="0.3">
      <c r="B122"/>
      <c r="I122" s="5"/>
    </row>
    <row r="123" spans="2:9" x14ac:dyDescent="0.3">
      <c r="B123"/>
      <c r="I123" s="5"/>
    </row>
    <row r="124" spans="2:9" x14ac:dyDescent="0.3">
      <c r="B124"/>
      <c r="I124" s="7"/>
    </row>
    <row r="125" spans="2:9" x14ac:dyDescent="0.3">
      <c r="B125"/>
      <c r="I125" s="5"/>
    </row>
    <row r="126" spans="2:9" x14ac:dyDescent="0.3">
      <c r="B126"/>
      <c r="I126" s="5"/>
    </row>
    <row r="127" spans="2:9" x14ac:dyDescent="0.3">
      <c r="B127"/>
      <c r="I127" s="5"/>
    </row>
    <row r="128" spans="2:9" x14ac:dyDescent="0.3">
      <c r="B128"/>
      <c r="I128" s="5"/>
    </row>
    <row r="129" spans="2:9" x14ac:dyDescent="0.3">
      <c r="B129"/>
      <c r="I129" s="5"/>
    </row>
    <row r="130" spans="2:9" x14ac:dyDescent="0.3">
      <c r="B130"/>
      <c r="I130" s="7"/>
    </row>
    <row r="131" spans="2:9" x14ac:dyDescent="0.3">
      <c r="B131"/>
      <c r="I131" s="5"/>
    </row>
    <row r="132" spans="2:9" x14ac:dyDescent="0.3">
      <c r="B132"/>
      <c r="I132" s="5"/>
    </row>
    <row r="133" spans="2:9" x14ac:dyDescent="0.3">
      <c r="B133"/>
      <c r="I133" s="7"/>
    </row>
    <row r="134" spans="2:9" x14ac:dyDescent="0.3">
      <c r="B134"/>
      <c r="I134" s="5"/>
    </row>
    <row r="135" spans="2:9" x14ac:dyDescent="0.3">
      <c r="B135"/>
      <c r="I135" s="5"/>
    </row>
    <row r="136" spans="2:9" x14ac:dyDescent="0.3">
      <c r="B136"/>
      <c r="I136" s="5"/>
    </row>
    <row r="137" spans="2:9" x14ac:dyDescent="0.3">
      <c r="B137"/>
      <c r="I137" s="5"/>
    </row>
    <row r="138" spans="2:9" x14ac:dyDescent="0.3">
      <c r="B138"/>
      <c r="I138" s="5"/>
    </row>
    <row r="139" spans="2:9" x14ac:dyDescent="0.3">
      <c r="B139"/>
      <c r="I139" s="5"/>
    </row>
    <row r="140" spans="2:9" x14ac:dyDescent="0.3">
      <c r="B140"/>
      <c r="I140" s="5"/>
    </row>
    <row r="141" spans="2:9" x14ac:dyDescent="0.3">
      <c r="B141"/>
      <c r="I141" s="5"/>
    </row>
    <row r="142" spans="2:9" x14ac:dyDescent="0.3">
      <c r="B142"/>
      <c r="I142" s="5"/>
    </row>
    <row r="143" spans="2:9" x14ac:dyDescent="0.3">
      <c r="B143"/>
      <c r="I143" s="5"/>
    </row>
    <row r="144" spans="2:9" x14ac:dyDescent="0.3">
      <c r="B144"/>
      <c r="I144" s="5"/>
    </row>
    <row r="145" spans="2:9" x14ac:dyDescent="0.3">
      <c r="B145"/>
      <c r="I145" s="5"/>
    </row>
    <row r="146" spans="2:9" x14ac:dyDescent="0.3">
      <c r="B146"/>
      <c r="I146" s="5"/>
    </row>
    <row r="147" spans="2:9" x14ac:dyDescent="0.3">
      <c r="B147"/>
      <c r="I147" s="5"/>
    </row>
    <row r="148" spans="2:9" x14ac:dyDescent="0.3">
      <c r="B148"/>
      <c r="I148" s="5"/>
    </row>
    <row r="149" spans="2:9" x14ac:dyDescent="0.3">
      <c r="B149"/>
      <c r="I149" s="5"/>
    </row>
    <row r="150" spans="2:9" x14ac:dyDescent="0.3">
      <c r="B150"/>
      <c r="I150" s="7"/>
    </row>
    <row r="151" spans="2:9" x14ac:dyDescent="0.3">
      <c r="B151"/>
      <c r="I151" s="5"/>
    </row>
    <row r="152" spans="2:9" x14ac:dyDescent="0.3">
      <c r="B152"/>
      <c r="I152" s="5"/>
    </row>
    <row r="153" spans="2:9" x14ac:dyDescent="0.3">
      <c r="B153"/>
      <c r="I153" s="5"/>
    </row>
    <row r="154" spans="2:9" x14ac:dyDescent="0.3">
      <c r="B154"/>
      <c r="I154" s="5"/>
    </row>
    <row r="155" spans="2:9" x14ac:dyDescent="0.3">
      <c r="B155"/>
      <c r="I155" s="5"/>
    </row>
    <row r="156" spans="2:9" x14ac:dyDescent="0.3">
      <c r="B156"/>
      <c r="I156" s="7"/>
    </row>
    <row r="157" spans="2:9" x14ac:dyDescent="0.3">
      <c r="B157"/>
      <c r="I157" s="5"/>
    </row>
    <row r="158" spans="2:9" x14ac:dyDescent="0.3">
      <c r="B158"/>
      <c r="I158" s="7"/>
    </row>
    <row r="159" spans="2:9" x14ac:dyDescent="0.3">
      <c r="B159"/>
      <c r="I159" s="5"/>
    </row>
    <row r="160" spans="2:9" x14ac:dyDescent="0.3">
      <c r="B160"/>
      <c r="I160" s="5"/>
    </row>
    <row r="161" spans="2:9" x14ac:dyDescent="0.3">
      <c r="B161"/>
      <c r="I161" s="5"/>
    </row>
    <row r="162" spans="2:9" x14ac:dyDescent="0.3">
      <c r="B162"/>
      <c r="I162" s="5"/>
    </row>
    <row r="163" spans="2:9" x14ac:dyDescent="0.3">
      <c r="B163"/>
      <c r="I163" s="5"/>
    </row>
    <row r="164" spans="2:9" x14ac:dyDescent="0.3">
      <c r="B164"/>
      <c r="I164" s="5"/>
    </row>
    <row r="165" spans="2:9" x14ac:dyDescent="0.3">
      <c r="B165"/>
      <c r="I165" s="7"/>
    </row>
    <row r="166" spans="2:9" x14ac:dyDescent="0.3">
      <c r="B166"/>
      <c r="I166" s="5"/>
    </row>
    <row r="167" spans="2:9" x14ac:dyDescent="0.3">
      <c r="B167"/>
      <c r="I167" s="5"/>
    </row>
    <row r="168" spans="2:9" x14ac:dyDescent="0.3">
      <c r="B168"/>
      <c r="I168" s="5"/>
    </row>
    <row r="169" spans="2:9" x14ac:dyDescent="0.3">
      <c r="B169"/>
      <c r="I169" s="5"/>
    </row>
    <row r="170" spans="2:9" x14ac:dyDescent="0.3">
      <c r="B170"/>
      <c r="I170" s="7"/>
    </row>
    <row r="171" spans="2:9" x14ac:dyDescent="0.3">
      <c r="B171"/>
      <c r="I171" s="5"/>
    </row>
    <row r="172" spans="2:9" x14ac:dyDescent="0.3">
      <c r="B172"/>
      <c r="I172" s="5"/>
    </row>
    <row r="173" spans="2:9" x14ac:dyDescent="0.3">
      <c r="B173"/>
      <c r="I173" s="7"/>
    </row>
    <row r="174" spans="2:9" x14ac:dyDescent="0.3">
      <c r="B174"/>
      <c r="I174" s="5"/>
    </row>
    <row r="175" spans="2:9" x14ac:dyDescent="0.3">
      <c r="B175"/>
      <c r="I175" s="5"/>
    </row>
    <row r="176" spans="2:9" x14ac:dyDescent="0.3">
      <c r="B176"/>
      <c r="I176" s="5"/>
    </row>
    <row r="177" spans="2:9" x14ac:dyDescent="0.3">
      <c r="B177"/>
      <c r="I177" s="7"/>
    </row>
    <row r="178" spans="2:9" x14ac:dyDescent="0.3">
      <c r="B178"/>
      <c r="I178" s="5"/>
    </row>
    <row r="179" spans="2:9" x14ac:dyDescent="0.3">
      <c r="B179"/>
      <c r="I179" s="5"/>
    </row>
    <row r="180" spans="2:9" x14ac:dyDescent="0.3">
      <c r="B180"/>
      <c r="I180" s="5"/>
    </row>
    <row r="181" spans="2:9" x14ac:dyDescent="0.3">
      <c r="B181"/>
      <c r="I181" s="5"/>
    </row>
    <row r="182" spans="2:9" x14ac:dyDescent="0.3">
      <c r="B182"/>
      <c r="I182" s="5"/>
    </row>
    <row r="183" spans="2:9" x14ac:dyDescent="0.3">
      <c r="B183"/>
      <c r="I183" s="7"/>
    </row>
    <row r="184" spans="2:9" x14ac:dyDescent="0.3">
      <c r="B184"/>
      <c r="I184" s="5"/>
    </row>
    <row r="185" spans="2:9" x14ac:dyDescent="0.3">
      <c r="B185"/>
      <c r="I185" s="7"/>
    </row>
    <row r="186" spans="2:9" x14ac:dyDescent="0.3">
      <c r="B186"/>
      <c r="I186" s="5"/>
    </row>
    <row r="187" spans="2:9" x14ac:dyDescent="0.3">
      <c r="B187"/>
      <c r="I187" s="5"/>
    </row>
    <row r="188" spans="2:9" x14ac:dyDescent="0.3">
      <c r="B188"/>
      <c r="I188" s="5"/>
    </row>
    <row r="189" spans="2:9" x14ac:dyDescent="0.3">
      <c r="B189"/>
      <c r="I189" s="7"/>
    </row>
    <row r="190" spans="2:9" x14ac:dyDescent="0.3">
      <c r="B190"/>
      <c r="I190" s="5"/>
    </row>
    <row r="191" spans="2:9" x14ac:dyDescent="0.3">
      <c r="B191"/>
      <c r="I191" s="7"/>
    </row>
    <row r="192" spans="2:9" x14ac:dyDescent="0.3">
      <c r="B192"/>
      <c r="I192" s="5"/>
    </row>
    <row r="193" spans="2:9" x14ac:dyDescent="0.3">
      <c r="B193"/>
      <c r="I193" s="5"/>
    </row>
    <row r="194" spans="2:9" x14ac:dyDescent="0.3">
      <c r="B194"/>
      <c r="I194" s="5"/>
    </row>
    <row r="195" spans="2:9" x14ac:dyDescent="0.3">
      <c r="B195"/>
      <c r="I195" s="5"/>
    </row>
    <row r="196" spans="2:9" x14ac:dyDescent="0.3">
      <c r="B196"/>
      <c r="I196" s="5"/>
    </row>
    <row r="197" spans="2:9" x14ac:dyDescent="0.3">
      <c r="B197"/>
    </row>
    <row r="198" spans="2:9" x14ac:dyDescent="0.3">
      <c r="B198"/>
    </row>
    <row r="199" spans="2:9" x14ac:dyDescent="0.3">
      <c r="B199"/>
    </row>
    <row r="200" spans="2:9" x14ac:dyDescent="0.3">
      <c r="B200"/>
    </row>
    <row r="201" spans="2:9" x14ac:dyDescent="0.3">
      <c r="B201"/>
    </row>
    <row r="202" spans="2:9" x14ac:dyDescent="0.3">
      <c r="B202"/>
    </row>
    <row r="203" spans="2:9" x14ac:dyDescent="0.3">
      <c r="B203"/>
    </row>
    <row r="204" spans="2:9" x14ac:dyDescent="0.3">
      <c r="B204"/>
    </row>
    <row r="205" spans="2:9" x14ac:dyDescent="0.3">
      <c r="B205"/>
    </row>
    <row r="206" spans="2:9" x14ac:dyDescent="0.3">
      <c r="B206"/>
    </row>
    <row r="207" spans="2:9" x14ac:dyDescent="0.3">
      <c r="B207"/>
    </row>
    <row r="208" spans="2:9" x14ac:dyDescent="0.3">
      <c r="B208"/>
    </row>
    <row r="209" spans="2:2" x14ac:dyDescent="0.3">
      <c r="B209"/>
    </row>
    <row r="210" spans="2:2" x14ac:dyDescent="0.3">
      <c r="B210"/>
    </row>
    <row r="211" spans="2:2" x14ac:dyDescent="0.3">
      <c r="B211"/>
    </row>
    <row r="212" spans="2:2" x14ac:dyDescent="0.3">
      <c r="B212"/>
    </row>
    <row r="213" spans="2:2" x14ac:dyDescent="0.3">
      <c r="B213"/>
    </row>
    <row r="214" spans="2:2" x14ac:dyDescent="0.3">
      <c r="B214"/>
    </row>
    <row r="215" spans="2:2" x14ac:dyDescent="0.3">
      <c r="B215"/>
    </row>
    <row r="216" spans="2:2" x14ac:dyDescent="0.3">
      <c r="B216"/>
    </row>
    <row r="217" spans="2:2" x14ac:dyDescent="0.3">
      <c r="B217"/>
    </row>
    <row r="218" spans="2:2" x14ac:dyDescent="0.3">
      <c r="B218"/>
    </row>
    <row r="219" spans="2:2" x14ac:dyDescent="0.3">
      <c r="B219"/>
    </row>
    <row r="220" spans="2:2" x14ac:dyDescent="0.3">
      <c r="B220"/>
    </row>
    <row r="221" spans="2:2" x14ac:dyDescent="0.3">
      <c r="B221"/>
    </row>
    <row r="222" spans="2:2" x14ac:dyDescent="0.3">
      <c r="B222"/>
    </row>
    <row r="223" spans="2:2" x14ac:dyDescent="0.3">
      <c r="B223"/>
    </row>
    <row r="224" spans="2:2" x14ac:dyDescent="0.3">
      <c r="B224"/>
    </row>
    <row r="225" spans="2:2" x14ac:dyDescent="0.3">
      <c r="B225"/>
    </row>
    <row r="226" spans="2:2" x14ac:dyDescent="0.3">
      <c r="B226"/>
    </row>
    <row r="227" spans="2:2" x14ac:dyDescent="0.3">
      <c r="B227"/>
    </row>
    <row r="228" spans="2:2" x14ac:dyDescent="0.3">
      <c r="B228"/>
    </row>
    <row r="229" spans="2:2" x14ac:dyDescent="0.3">
      <c r="B229"/>
    </row>
    <row r="230" spans="2:2" x14ac:dyDescent="0.3">
      <c r="B230"/>
    </row>
    <row r="231" spans="2:2" x14ac:dyDescent="0.3">
      <c r="B231"/>
    </row>
    <row r="232" spans="2:2" x14ac:dyDescent="0.3">
      <c r="B232"/>
    </row>
    <row r="233" spans="2:2" x14ac:dyDescent="0.3">
      <c r="B233"/>
    </row>
    <row r="234" spans="2:2" x14ac:dyDescent="0.3">
      <c r="B234"/>
    </row>
    <row r="235" spans="2:2" x14ac:dyDescent="0.3">
      <c r="B235"/>
    </row>
    <row r="236" spans="2:2" x14ac:dyDescent="0.3">
      <c r="B236"/>
    </row>
    <row r="237" spans="2:2" x14ac:dyDescent="0.3">
      <c r="B237"/>
    </row>
    <row r="238" spans="2:2" x14ac:dyDescent="0.3">
      <c r="B238"/>
    </row>
    <row r="239" spans="2:2" x14ac:dyDescent="0.3">
      <c r="B239"/>
    </row>
    <row r="240" spans="2:2" x14ac:dyDescent="0.3">
      <c r="B240"/>
    </row>
    <row r="241" spans="2:2" x14ac:dyDescent="0.3">
      <c r="B241"/>
    </row>
    <row r="242" spans="2:2" x14ac:dyDescent="0.3">
      <c r="B242"/>
    </row>
    <row r="243" spans="2:2" x14ac:dyDescent="0.3">
      <c r="B243"/>
    </row>
    <row r="244" spans="2:2" x14ac:dyDescent="0.3">
      <c r="B244"/>
    </row>
    <row r="245" spans="2:2" x14ac:dyDescent="0.3">
      <c r="B245"/>
    </row>
    <row r="246" spans="2:2" x14ac:dyDescent="0.3">
      <c r="B246"/>
    </row>
    <row r="247" spans="2:2" x14ac:dyDescent="0.3">
      <c r="B247"/>
    </row>
    <row r="248" spans="2:2" x14ac:dyDescent="0.3">
      <c r="B248"/>
    </row>
    <row r="249" spans="2:2" x14ac:dyDescent="0.3">
      <c r="B249"/>
    </row>
    <row r="250" spans="2:2" x14ac:dyDescent="0.3">
      <c r="B250"/>
    </row>
    <row r="251" spans="2:2" x14ac:dyDescent="0.3">
      <c r="B251"/>
    </row>
    <row r="252" spans="2:2" x14ac:dyDescent="0.3">
      <c r="B252"/>
    </row>
    <row r="253" spans="2:2" x14ac:dyDescent="0.3">
      <c r="B253"/>
    </row>
    <row r="254" spans="2:2" x14ac:dyDescent="0.3">
      <c r="B254"/>
    </row>
    <row r="255" spans="2:2" x14ac:dyDescent="0.3">
      <c r="B255"/>
    </row>
    <row r="256" spans="2:2" x14ac:dyDescent="0.3">
      <c r="B256"/>
    </row>
    <row r="257" spans="2:2" x14ac:dyDescent="0.3">
      <c r="B257"/>
    </row>
    <row r="258" spans="2:2" x14ac:dyDescent="0.3">
      <c r="B258"/>
    </row>
    <row r="259" spans="2:2" x14ac:dyDescent="0.3">
      <c r="B259"/>
    </row>
    <row r="260" spans="2:2" x14ac:dyDescent="0.3">
      <c r="B260"/>
    </row>
    <row r="261" spans="2:2" x14ac:dyDescent="0.3">
      <c r="B261"/>
    </row>
    <row r="262" spans="2:2" x14ac:dyDescent="0.3">
      <c r="B262"/>
    </row>
    <row r="263" spans="2:2" x14ac:dyDescent="0.3">
      <c r="B263"/>
    </row>
    <row r="264" spans="2:2" x14ac:dyDescent="0.3">
      <c r="B264"/>
    </row>
    <row r="265" spans="2:2" x14ac:dyDescent="0.3">
      <c r="B265"/>
    </row>
    <row r="266" spans="2:2" x14ac:dyDescent="0.3">
      <c r="B266"/>
    </row>
    <row r="267" spans="2:2" x14ac:dyDescent="0.3">
      <c r="B267"/>
    </row>
    <row r="268" spans="2:2" x14ac:dyDescent="0.3">
      <c r="B268"/>
    </row>
    <row r="269" spans="2:2" x14ac:dyDescent="0.3">
      <c r="B269"/>
    </row>
    <row r="270" spans="2:2" x14ac:dyDescent="0.3">
      <c r="B270"/>
    </row>
    <row r="271" spans="2:2" x14ac:dyDescent="0.3">
      <c r="B271"/>
    </row>
    <row r="272" spans="2:2" x14ac:dyDescent="0.3">
      <c r="B272"/>
    </row>
    <row r="273" spans="2:2" x14ac:dyDescent="0.3">
      <c r="B273"/>
    </row>
    <row r="274" spans="2:2" x14ac:dyDescent="0.3">
      <c r="B274"/>
    </row>
    <row r="275" spans="2:2" x14ac:dyDescent="0.3">
      <c r="B275"/>
    </row>
    <row r="276" spans="2:2" x14ac:dyDescent="0.3">
      <c r="B276"/>
    </row>
    <row r="277" spans="2:2" x14ac:dyDescent="0.3">
      <c r="B277"/>
    </row>
    <row r="278" spans="2:2" x14ac:dyDescent="0.3">
      <c r="B278"/>
    </row>
    <row r="279" spans="2:2" x14ac:dyDescent="0.3">
      <c r="B279"/>
    </row>
    <row r="280" spans="2:2" x14ac:dyDescent="0.3">
      <c r="B280"/>
    </row>
    <row r="281" spans="2:2" x14ac:dyDescent="0.3">
      <c r="B281"/>
    </row>
    <row r="282" spans="2:2" x14ac:dyDescent="0.3">
      <c r="B282"/>
    </row>
    <row r="283" spans="2:2" x14ac:dyDescent="0.3">
      <c r="B283"/>
    </row>
    <row r="284" spans="2:2" x14ac:dyDescent="0.3">
      <c r="B284"/>
    </row>
    <row r="285" spans="2:2" x14ac:dyDescent="0.3">
      <c r="B285"/>
    </row>
    <row r="286" spans="2:2" x14ac:dyDescent="0.3">
      <c r="B286"/>
    </row>
    <row r="287" spans="2:2" x14ac:dyDescent="0.3">
      <c r="B287"/>
    </row>
    <row r="288" spans="2:2" x14ac:dyDescent="0.3">
      <c r="B288"/>
    </row>
    <row r="289" spans="2:2" x14ac:dyDescent="0.3">
      <c r="B289"/>
    </row>
    <row r="290" spans="2:2" x14ac:dyDescent="0.3">
      <c r="B290"/>
    </row>
    <row r="291" spans="2:2" x14ac:dyDescent="0.3">
      <c r="B291"/>
    </row>
    <row r="292" spans="2:2" x14ac:dyDescent="0.3">
      <c r="B292"/>
    </row>
    <row r="293" spans="2:2" x14ac:dyDescent="0.3">
      <c r="B293"/>
    </row>
    <row r="294" spans="2:2" x14ac:dyDescent="0.3">
      <c r="B294"/>
    </row>
    <row r="295" spans="2:2" x14ac:dyDescent="0.3">
      <c r="B295"/>
    </row>
    <row r="296" spans="2:2" x14ac:dyDescent="0.3">
      <c r="B296"/>
    </row>
    <row r="297" spans="2:2" x14ac:dyDescent="0.3">
      <c r="B297"/>
    </row>
    <row r="298" spans="2:2" x14ac:dyDescent="0.3">
      <c r="B298"/>
    </row>
    <row r="299" spans="2:2" x14ac:dyDescent="0.3">
      <c r="B299"/>
    </row>
    <row r="300" spans="2:2" x14ac:dyDescent="0.3">
      <c r="B300"/>
    </row>
    <row r="301" spans="2:2" x14ac:dyDescent="0.3">
      <c r="B301"/>
    </row>
    <row r="302" spans="2:2" x14ac:dyDescent="0.3">
      <c r="B302"/>
    </row>
    <row r="303" spans="2:2" x14ac:dyDescent="0.3">
      <c r="B303"/>
    </row>
    <row r="304" spans="2:2" x14ac:dyDescent="0.3">
      <c r="B304"/>
    </row>
    <row r="305" spans="2:2" x14ac:dyDescent="0.3">
      <c r="B305"/>
    </row>
    <row r="306" spans="2:2" x14ac:dyDescent="0.3">
      <c r="B306"/>
    </row>
    <row r="307" spans="2:2" x14ac:dyDescent="0.3">
      <c r="B307"/>
    </row>
    <row r="308" spans="2:2" x14ac:dyDescent="0.3">
      <c r="B308"/>
    </row>
    <row r="309" spans="2:2" x14ac:dyDescent="0.3">
      <c r="B309"/>
    </row>
    <row r="310" spans="2:2" x14ac:dyDescent="0.3">
      <c r="B310"/>
    </row>
    <row r="311" spans="2:2" x14ac:dyDescent="0.3">
      <c r="B311"/>
    </row>
    <row r="312" spans="2:2" x14ac:dyDescent="0.3">
      <c r="B312"/>
    </row>
    <row r="313" spans="2:2" x14ac:dyDescent="0.3">
      <c r="B313"/>
    </row>
    <row r="314" spans="2:2" x14ac:dyDescent="0.3">
      <c r="B314"/>
    </row>
    <row r="315" spans="2:2" x14ac:dyDescent="0.3">
      <c r="B315"/>
    </row>
    <row r="316" spans="2:2" x14ac:dyDescent="0.3">
      <c r="B316"/>
    </row>
    <row r="317" spans="2:2" x14ac:dyDescent="0.3">
      <c r="B317"/>
    </row>
    <row r="318" spans="2:2" x14ac:dyDescent="0.3">
      <c r="B318"/>
    </row>
    <row r="319" spans="2:2" x14ac:dyDescent="0.3">
      <c r="B319"/>
    </row>
    <row r="320" spans="2:2" x14ac:dyDescent="0.3">
      <c r="B320"/>
    </row>
    <row r="321" spans="2:2" x14ac:dyDescent="0.3">
      <c r="B321"/>
    </row>
    <row r="322" spans="2:2" x14ac:dyDescent="0.3">
      <c r="B322"/>
    </row>
    <row r="323" spans="2:2" x14ac:dyDescent="0.3">
      <c r="B323"/>
    </row>
    <row r="324" spans="2:2" x14ac:dyDescent="0.3">
      <c r="B324"/>
    </row>
    <row r="325" spans="2:2" x14ac:dyDescent="0.3">
      <c r="B325"/>
    </row>
    <row r="326" spans="2:2" x14ac:dyDescent="0.3">
      <c r="B326"/>
    </row>
    <row r="327" spans="2:2" x14ac:dyDescent="0.3">
      <c r="B327"/>
    </row>
    <row r="328" spans="2:2" x14ac:dyDescent="0.3">
      <c r="B328"/>
    </row>
    <row r="329" spans="2:2" x14ac:dyDescent="0.3">
      <c r="B329"/>
    </row>
    <row r="330" spans="2:2" x14ac:dyDescent="0.3">
      <c r="B330"/>
    </row>
    <row r="331" spans="2:2" x14ac:dyDescent="0.3">
      <c r="B331"/>
    </row>
    <row r="332" spans="2:2" x14ac:dyDescent="0.3">
      <c r="B332"/>
    </row>
    <row r="333" spans="2:2" x14ac:dyDescent="0.3">
      <c r="B333"/>
    </row>
    <row r="334" spans="2:2" x14ac:dyDescent="0.3">
      <c r="B334"/>
    </row>
    <row r="335" spans="2:2" x14ac:dyDescent="0.3">
      <c r="B335"/>
    </row>
    <row r="336" spans="2:2" x14ac:dyDescent="0.3">
      <c r="B336"/>
    </row>
    <row r="337" spans="2:2" x14ac:dyDescent="0.3">
      <c r="B337"/>
    </row>
    <row r="338" spans="2:2" x14ac:dyDescent="0.3">
      <c r="B338"/>
    </row>
    <row r="339" spans="2:2" x14ac:dyDescent="0.3">
      <c r="B339"/>
    </row>
    <row r="340" spans="2:2" x14ac:dyDescent="0.3">
      <c r="B340"/>
    </row>
    <row r="341" spans="2:2" x14ac:dyDescent="0.3">
      <c r="B341"/>
    </row>
    <row r="342" spans="2:2" x14ac:dyDescent="0.3">
      <c r="B342"/>
    </row>
    <row r="343" spans="2:2" x14ac:dyDescent="0.3">
      <c r="B343"/>
    </row>
    <row r="344" spans="2:2" x14ac:dyDescent="0.3">
      <c r="B344"/>
    </row>
    <row r="345" spans="2:2" x14ac:dyDescent="0.3">
      <c r="B345"/>
    </row>
    <row r="346" spans="2:2" x14ac:dyDescent="0.3">
      <c r="B346"/>
    </row>
    <row r="347" spans="2:2" x14ac:dyDescent="0.3">
      <c r="B347"/>
    </row>
    <row r="348" spans="2:2" x14ac:dyDescent="0.3">
      <c r="B348"/>
    </row>
    <row r="349" spans="2:2" x14ac:dyDescent="0.3">
      <c r="B349"/>
    </row>
    <row r="350" spans="2:2" x14ac:dyDescent="0.3">
      <c r="B350"/>
    </row>
    <row r="351" spans="2:2" x14ac:dyDescent="0.3">
      <c r="B351"/>
    </row>
    <row r="352" spans="2:2" x14ac:dyDescent="0.3">
      <c r="B352"/>
    </row>
    <row r="353" spans="2:2" x14ac:dyDescent="0.3">
      <c r="B353"/>
    </row>
    <row r="354" spans="2:2" x14ac:dyDescent="0.3">
      <c r="B354"/>
    </row>
    <row r="355" spans="2:2" x14ac:dyDescent="0.3">
      <c r="B355"/>
    </row>
    <row r="356" spans="2:2" x14ac:dyDescent="0.3">
      <c r="B356"/>
    </row>
    <row r="357" spans="2:2" x14ac:dyDescent="0.3">
      <c r="B357"/>
    </row>
    <row r="358" spans="2:2" x14ac:dyDescent="0.3">
      <c r="B358"/>
    </row>
    <row r="359" spans="2:2" x14ac:dyDescent="0.3">
      <c r="B359"/>
    </row>
    <row r="360" spans="2:2" x14ac:dyDescent="0.3">
      <c r="B360"/>
    </row>
    <row r="361" spans="2:2" x14ac:dyDescent="0.3">
      <c r="B361"/>
    </row>
    <row r="362" spans="2:2" x14ac:dyDescent="0.3">
      <c r="B362"/>
    </row>
    <row r="363" spans="2:2" x14ac:dyDescent="0.3">
      <c r="B363"/>
    </row>
    <row r="364" spans="2:2" x14ac:dyDescent="0.3">
      <c r="B364"/>
    </row>
    <row r="365" spans="2:2" x14ac:dyDescent="0.3">
      <c r="B365"/>
    </row>
    <row r="366" spans="2:2" x14ac:dyDescent="0.3">
      <c r="B366"/>
    </row>
    <row r="367" spans="2:2" x14ac:dyDescent="0.3">
      <c r="B367"/>
    </row>
    <row r="368" spans="2:2" x14ac:dyDescent="0.3">
      <c r="B368"/>
    </row>
    <row r="369" spans="2:2" x14ac:dyDescent="0.3">
      <c r="B369"/>
    </row>
    <row r="370" spans="2:2" x14ac:dyDescent="0.3">
      <c r="B370"/>
    </row>
    <row r="371" spans="2:2" x14ac:dyDescent="0.3">
      <c r="B371"/>
    </row>
    <row r="372" spans="2:2" x14ac:dyDescent="0.3">
      <c r="B372"/>
    </row>
    <row r="373" spans="2:2" x14ac:dyDescent="0.3">
      <c r="B373"/>
    </row>
    <row r="374" spans="2:2" x14ac:dyDescent="0.3">
      <c r="B374"/>
    </row>
    <row r="375" spans="2:2" x14ac:dyDescent="0.3">
      <c r="B375"/>
    </row>
    <row r="376" spans="2:2" x14ac:dyDescent="0.3">
      <c r="B376"/>
    </row>
    <row r="377" spans="2:2" x14ac:dyDescent="0.3">
      <c r="B377"/>
    </row>
    <row r="378" spans="2:2" x14ac:dyDescent="0.3">
      <c r="B378"/>
    </row>
    <row r="379" spans="2:2" x14ac:dyDescent="0.3">
      <c r="B379"/>
    </row>
    <row r="380" spans="2:2" x14ac:dyDescent="0.3">
      <c r="B380"/>
    </row>
    <row r="381" spans="2:2" x14ac:dyDescent="0.3">
      <c r="B381"/>
    </row>
    <row r="382" spans="2:2" x14ac:dyDescent="0.3">
      <c r="B382"/>
    </row>
    <row r="383" spans="2:2" x14ac:dyDescent="0.3">
      <c r="B383"/>
    </row>
    <row r="384" spans="2:2" x14ac:dyDescent="0.3">
      <c r="B384"/>
    </row>
    <row r="385" spans="2:2" x14ac:dyDescent="0.3">
      <c r="B385"/>
    </row>
    <row r="386" spans="2:2" x14ac:dyDescent="0.3">
      <c r="B386"/>
    </row>
    <row r="387" spans="2:2" x14ac:dyDescent="0.3">
      <c r="B387"/>
    </row>
    <row r="388" spans="2:2" x14ac:dyDescent="0.3">
      <c r="B388"/>
    </row>
    <row r="389" spans="2:2" x14ac:dyDescent="0.3">
      <c r="B389"/>
    </row>
    <row r="390" spans="2:2" x14ac:dyDescent="0.3">
      <c r="B390"/>
    </row>
    <row r="391" spans="2:2" x14ac:dyDescent="0.3">
      <c r="B391"/>
    </row>
    <row r="392" spans="2:2" x14ac:dyDescent="0.3">
      <c r="B392"/>
    </row>
    <row r="393" spans="2:2" x14ac:dyDescent="0.3">
      <c r="B393"/>
    </row>
    <row r="394" spans="2:2" x14ac:dyDescent="0.3">
      <c r="B394"/>
    </row>
    <row r="395" spans="2:2" x14ac:dyDescent="0.3">
      <c r="B395"/>
    </row>
    <row r="396" spans="2:2" x14ac:dyDescent="0.3">
      <c r="B396"/>
    </row>
    <row r="397" spans="2:2" x14ac:dyDescent="0.3">
      <c r="B397"/>
    </row>
    <row r="398" spans="2:2" x14ac:dyDescent="0.3">
      <c r="B398"/>
    </row>
    <row r="399" spans="2:2" x14ac:dyDescent="0.3">
      <c r="B399"/>
    </row>
    <row r="400" spans="2:2" x14ac:dyDescent="0.3">
      <c r="B400"/>
    </row>
    <row r="401" spans="2:2" x14ac:dyDescent="0.3">
      <c r="B401"/>
    </row>
    <row r="402" spans="2:2" x14ac:dyDescent="0.3">
      <c r="B402"/>
    </row>
    <row r="403" spans="2:2" x14ac:dyDescent="0.3">
      <c r="B403"/>
    </row>
    <row r="404" spans="2:2" x14ac:dyDescent="0.3">
      <c r="B404"/>
    </row>
    <row r="405" spans="2:2" x14ac:dyDescent="0.3">
      <c r="B405"/>
    </row>
    <row r="406" spans="2:2" x14ac:dyDescent="0.3">
      <c r="B406"/>
    </row>
    <row r="407" spans="2:2" x14ac:dyDescent="0.3">
      <c r="B407"/>
    </row>
    <row r="408" spans="2:2" x14ac:dyDescent="0.3">
      <c r="B408"/>
    </row>
    <row r="409" spans="2:2" x14ac:dyDescent="0.3">
      <c r="B409"/>
    </row>
    <row r="410" spans="2:2" x14ac:dyDescent="0.3">
      <c r="B410"/>
    </row>
    <row r="411" spans="2:2" x14ac:dyDescent="0.3">
      <c r="B411"/>
    </row>
    <row r="412" spans="2:2" x14ac:dyDescent="0.3">
      <c r="B412"/>
    </row>
    <row r="413" spans="2:2" x14ac:dyDescent="0.3">
      <c r="B413"/>
    </row>
    <row r="414" spans="2:2" x14ac:dyDescent="0.3">
      <c r="B414"/>
    </row>
    <row r="415" spans="2:2" x14ac:dyDescent="0.3">
      <c r="B415"/>
    </row>
    <row r="416" spans="2:2" x14ac:dyDescent="0.3">
      <c r="B416"/>
    </row>
    <row r="417" spans="2:2" x14ac:dyDescent="0.3">
      <c r="B417"/>
    </row>
    <row r="418" spans="2:2" x14ac:dyDescent="0.3">
      <c r="B418"/>
    </row>
    <row r="419" spans="2:2" x14ac:dyDescent="0.3">
      <c r="B419"/>
    </row>
    <row r="420" spans="2:2" x14ac:dyDescent="0.3">
      <c r="B420"/>
    </row>
    <row r="421" spans="2:2" x14ac:dyDescent="0.3">
      <c r="B421"/>
    </row>
    <row r="422" spans="2:2" x14ac:dyDescent="0.3">
      <c r="B422"/>
    </row>
    <row r="423" spans="2:2" x14ac:dyDescent="0.3">
      <c r="B423"/>
    </row>
    <row r="424" spans="2:2" x14ac:dyDescent="0.3">
      <c r="B424"/>
    </row>
    <row r="425" spans="2:2" x14ac:dyDescent="0.3">
      <c r="B425"/>
    </row>
    <row r="426" spans="2:2" x14ac:dyDescent="0.3">
      <c r="B426"/>
    </row>
    <row r="427" spans="2:2" x14ac:dyDescent="0.3">
      <c r="B427"/>
    </row>
    <row r="428" spans="2:2" x14ac:dyDescent="0.3">
      <c r="B428"/>
    </row>
    <row r="429" spans="2:2" x14ac:dyDescent="0.3">
      <c r="B429"/>
    </row>
    <row r="430" spans="2:2" x14ac:dyDescent="0.3">
      <c r="B430"/>
    </row>
    <row r="431" spans="2:2" x14ac:dyDescent="0.3">
      <c r="B431"/>
    </row>
    <row r="432" spans="2:2" x14ac:dyDescent="0.3">
      <c r="B432"/>
    </row>
    <row r="433" spans="2:2" x14ac:dyDescent="0.3">
      <c r="B433"/>
    </row>
    <row r="434" spans="2:2" x14ac:dyDescent="0.3">
      <c r="B434"/>
    </row>
    <row r="435" spans="2:2" x14ac:dyDescent="0.3">
      <c r="B435"/>
    </row>
    <row r="436" spans="2:2" x14ac:dyDescent="0.3">
      <c r="B436"/>
    </row>
    <row r="437" spans="2:2" x14ac:dyDescent="0.3">
      <c r="B437"/>
    </row>
    <row r="438" spans="2:2" x14ac:dyDescent="0.3">
      <c r="B438"/>
    </row>
    <row r="439" spans="2:2" x14ac:dyDescent="0.3">
      <c r="B439"/>
    </row>
    <row r="440" spans="2:2" x14ac:dyDescent="0.3">
      <c r="B440"/>
    </row>
    <row r="441" spans="2:2" x14ac:dyDescent="0.3">
      <c r="B441"/>
    </row>
    <row r="442" spans="2:2" x14ac:dyDescent="0.3">
      <c r="B442"/>
    </row>
    <row r="443" spans="2:2" x14ac:dyDescent="0.3">
      <c r="B443"/>
    </row>
    <row r="444" spans="2:2" x14ac:dyDescent="0.3">
      <c r="B444"/>
    </row>
    <row r="445" spans="2:2" x14ac:dyDescent="0.3">
      <c r="B445"/>
    </row>
    <row r="446" spans="2:2" x14ac:dyDescent="0.3">
      <c r="B446"/>
    </row>
    <row r="447" spans="2:2" x14ac:dyDescent="0.3">
      <c r="B447"/>
    </row>
    <row r="448" spans="2:2" x14ac:dyDescent="0.3">
      <c r="B448"/>
    </row>
    <row r="449" spans="2:2" x14ac:dyDescent="0.3">
      <c r="B449"/>
    </row>
    <row r="450" spans="2:2" x14ac:dyDescent="0.3">
      <c r="B450"/>
    </row>
    <row r="451" spans="2:2" x14ac:dyDescent="0.3">
      <c r="B451"/>
    </row>
    <row r="452" spans="2:2" x14ac:dyDescent="0.3">
      <c r="B452"/>
    </row>
    <row r="453" spans="2:2" x14ac:dyDescent="0.3">
      <c r="B453"/>
    </row>
    <row r="454" spans="2:2" x14ac:dyDescent="0.3">
      <c r="B454"/>
    </row>
    <row r="455" spans="2:2" x14ac:dyDescent="0.3">
      <c r="B455"/>
    </row>
    <row r="456" spans="2:2" x14ac:dyDescent="0.3">
      <c r="B456"/>
    </row>
    <row r="457" spans="2:2" x14ac:dyDescent="0.3">
      <c r="B457"/>
    </row>
    <row r="458" spans="2:2" x14ac:dyDescent="0.3">
      <c r="B458"/>
    </row>
    <row r="459" spans="2:2" x14ac:dyDescent="0.3">
      <c r="B459"/>
    </row>
    <row r="460" spans="2:2" x14ac:dyDescent="0.3">
      <c r="B460"/>
    </row>
    <row r="461" spans="2:2" x14ac:dyDescent="0.3">
      <c r="B461"/>
    </row>
    <row r="462" spans="2:2" x14ac:dyDescent="0.3">
      <c r="B462"/>
    </row>
    <row r="463" spans="2:2" x14ac:dyDescent="0.3">
      <c r="B463"/>
    </row>
    <row r="464" spans="2:2" x14ac:dyDescent="0.3">
      <c r="B464"/>
    </row>
    <row r="465" spans="2:2" x14ac:dyDescent="0.3">
      <c r="B465"/>
    </row>
    <row r="466" spans="2:2" x14ac:dyDescent="0.3">
      <c r="B466"/>
    </row>
    <row r="467" spans="2:2" x14ac:dyDescent="0.3">
      <c r="B467"/>
    </row>
    <row r="468" spans="2:2" x14ac:dyDescent="0.3">
      <c r="B468"/>
    </row>
    <row r="469" spans="2:2" x14ac:dyDescent="0.3">
      <c r="B469"/>
    </row>
    <row r="470" spans="2:2" x14ac:dyDescent="0.3">
      <c r="B470"/>
    </row>
    <row r="471" spans="2:2" x14ac:dyDescent="0.3">
      <c r="B471"/>
    </row>
    <row r="472" spans="2:2" x14ac:dyDescent="0.3">
      <c r="B472"/>
    </row>
    <row r="473" spans="2:2" x14ac:dyDescent="0.3">
      <c r="B473"/>
    </row>
    <row r="474" spans="2:2" x14ac:dyDescent="0.3">
      <c r="B474"/>
    </row>
    <row r="475" spans="2:2" x14ac:dyDescent="0.3">
      <c r="B475"/>
    </row>
    <row r="476" spans="2:2" x14ac:dyDescent="0.3">
      <c r="B476"/>
    </row>
    <row r="477" spans="2:2" x14ac:dyDescent="0.3">
      <c r="B477"/>
    </row>
    <row r="478" spans="2:2" x14ac:dyDescent="0.3">
      <c r="B478"/>
    </row>
    <row r="479" spans="2:2" x14ac:dyDescent="0.3">
      <c r="B479"/>
    </row>
    <row r="480" spans="2:2" x14ac:dyDescent="0.3">
      <c r="B480"/>
    </row>
    <row r="481" spans="2:2" x14ac:dyDescent="0.3">
      <c r="B481"/>
    </row>
    <row r="482" spans="2:2" x14ac:dyDescent="0.3">
      <c r="B482"/>
    </row>
    <row r="483" spans="2:2" x14ac:dyDescent="0.3">
      <c r="B483"/>
    </row>
    <row r="484" spans="2:2" x14ac:dyDescent="0.3">
      <c r="B484"/>
    </row>
    <row r="485" spans="2:2" x14ac:dyDescent="0.3">
      <c r="B485"/>
    </row>
    <row r="486" spans="2:2" x14ac:dyDescent="0.3">
      <c r="B486"/>
    </row>
    <row r="487" spans="2:2" x14ac:dyDescent="0.3">
      <c r="B487"/>
    </row>
    <row r="488" spans="2:2" x14ac:dyDescent="0.3">
      <c r="B488"/>
    </row>
    <row r="489" spans="2:2" x14ac:dyDescent="0.3">
      <c r="B489"/>
    </row>
    <row r="490" spans="2:2" x14ac:dyDescent="0.3">
      <c r="B490"/>
    </row>
    <row r="491" spans="2:2" x14ac:dyDescent="0.3">
      <c r="B491"/>
    </row>
    <row r="492" spans="2:2" x14ac:dyDescent="0.3">
      <c r="B492"/>
    </row>
    <row r="493" spans="2:2" x14ac:dyDescent="0.3">
      <c r="B493"/>
    </row>
    <row r="494" spans="2:2" x14ac:dyDescent="0.3">
      <c r="B494"/>
    </row>
    <row r="495" spans="2:2" x14ac:dyDescent="0.3">
      <c r="B495"/>
    </row>
    <row r="496" spans="2:2" x14ac:dyDescent="0.3">
      <c r="B496"/>
    </row>
    <row r="497" spans="2:2" x14ac:dyDescent="0.3">
      <c r="B497"/>
    </row>
    <row r="498" spans="2:2" x14ac:dyDescent="0.3">
      <c r="B498"/>
    </row>
    <row r="499" spans="2:2" x14ac:dyDescent="0.3">
      <c r="B499"/>
    </row>
    <row r="500" spans="2:2" x14ac:dyDescent="0.3">
      <c r="B500"/>
    </row>
    <row r="501" spans="2:2" x14ac:dyDescent="0.3">
      <c r="B501"/>
    </row>
    <row r="502" spans="2:2" x14ac:dyDescent="0.3">
      <c r="B502"/>
    </row>
    <row r="503" spans="2:2" x14ac:dyDescent="0.3">
      <c r="B503"/>
    </row>
    <row r="504" spans="2:2" x14ac:dyDescent="0.3">
      <c r="B504"/>
    </row>
  </sheetData>
  <sortState ref="N31:O32">
    <sortCondition descending="1" ref="O31:O32"/>
  </sortState>
  <conditionalFormatting sqref="I97:I1048576 I66:I86 I61 I59 I56 I1:I51 I53:I54">
    <cfRule type="duplicateValues" dxfId="43" priority="29"/>
  </conditionalFormatting>
  <conditionalFormatting sqref="M37 M35 M33 M30 M28 M26 M23 M18 M13 M21">
    <cfRule type="duplicateValues" dxfId="42" priority="101"/>
  </conditionalFormatting>
  <conditionalFormatting sqref="L14">
    <cfRule type="cellIs" dxfId="41" priority="12" operator="equal">
      <formula>$M$13</formula>
    </cfRule>
  </conditionalFormatting>
  <conditionalFormatting sqref="N14:N17">
    <cfRule type="cellIs" dxfId="40" priority="10" operator="equal">
      <formula>$M$13</formula>
    </cfRule>
  </conditionalFormatting>
  <conditionalFormatting sqref="N19:N20">
    <cfRule type="cellIs" dxfId="39" priority="9" operator="equal">
      <formula>$M$18</formula>
    </cfRule>
  </conditionalFormatting>
  <conditionalFormatting sqref="N22">
    <cfRule type="cellIs" dxfId="38" priority="8" operator="equal">
      <formula>$M$21</formula>
    </cfRule>
  </conditionalFormatting>
  <conditionalFormatting sqref="N24:N25">
    <cfRule type="cellIs" dxfId="37" priority="7" operator="equal">
      <formula>$M$23</formula>
    </cfRule>
  </conditionalFormatting>
  <conditionalFormatting sqref="N27">
    <cfRule type="cellIs" dxfId="36" priority="6" operator="equal">
      <formula>$M$26</formula>
    </cfRule>
  </conditionalFormatting>
  <conditionalFormatting sqref="N29">
    <cfRule type="cellIs" dxfId="35" priority="5" operator="equal">
      <formula>$M$28</formula>
    </cfRule>
  </conditionalFormatting>
  <conditionalFormatting sqref="N31:N32">
    <cfRule type="cellIs" dxfId="34" priority="4" operator="equal">
      <formula>$M$30</formula>
    </cfRule>
  </conditionalFormatting>
  <conditionalFormatting sqref="N34">
    <cfRule type="cellIs" dxfId="33" priority="3" operator="equal">
      <formula>$M$33</formula>
    </cfRule>
  </conditionalFormatting>
  <conditionalFormatting sqref="N36">
    <cfRule type="cellIs" dxfId="32" priority="2" operator="equal">
      <formula>$M$35</formula>
    </cfRule>
  </conditionalFormatting>
  <conditionalFormatting sqref="N38 A13:A74">
    <cfRule type="cellIs" dxfId="31" priority="1" operator="equal">
      <formula>$M$37</formula>
    </cfRule>
  </conditionalFormatting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42"/>
  <sheetViews>
    <sheetView tabSelected="1" workbookViewId="0">
      <selection activeCell="E6" sqref="E6"/>
    </sheetView>
  </sheetViews>
  <sheetFormatPr defaultRowHeight="14.4" x14ac:dyDescent="0.3"/>
  <cols>
    <col min="2" max="2" width="18" customWidth="1"/>
    <col min="3" max="3" width="16.88671875" customWidth="1"/>
    <col min="4" max="4" width="17.44140625" customWidth="1"/>
    <col min="6" max="6" width="6" customWidth="1"/>
    <col min="7" max="7" width="28.44140625" customWidth="1"/>
    <col min="8" max="8" width="21.5546875" customWidth="1"/>
    <col min="9" max="9" width="11.77734375" customWidth="1"/>
    <col min="10" max="10" width="6.6640625" customWidth="1"/>
    <col min="11" max="11" width="22.33203125" customWidth="1"/>
    <col min="12" max="12" width="16.5546875" customWidth="1"/>
    <col min="13" max="13" width="14.21875" customWidth="1"/>
    <col min="14" max="14" width="11.88671875" customWidth="1"/>
  </cols>
  <sheetData>
    <row r="1" spans="2:14" ht="15" thickBot="1" x14ac:dyDescent="0.35"/>
    <row r="2" spans="2:14" ht="43.8" thickBot="1" x14ac:dyDescent="0.35">
      <c r="B2" s="17" t="s">
        <v>364</v>
      </c>
      <c r="C2" s="18" t="s">
        <v>2</v>
      </c>
      <c r="D2" s="18" t="s">
        <v>577</v>
      </c>
      <c r="E2" s="19" t="s">
        <v>576</v>
      </c>
      <c r="G2" s="17" t="s">
        <v>578</v>
      </c>
      <c r="H2" s="18" t="s">
        <v>577</v>
      </c>
      <c r="I2" s="19" t="s">
        <v>576</v>
      </c>
      <c r="K2" s="17" t="s">
        <v>578</v>
      </c>
      <c r="L2" s="18" t="s">
        <v>2</v>
      </c>
      <c r="M2" s="18" t="s">
        <v>577</v>
      </c>
      <c r="N2" s="19" t="s">
        <v>580</v>
      </c>
    </row>
    <row r="3" spans="2:14" x14ac:dyDescent="0.3">
      <c r="B3" s="41"/>
      <c r="C3" s="23" t="s">
        <v>21</v>
      </c>
      <c r="D3" s="24">
        <v>55774038.949999988</v>
      </c>
      <c r="E3" s="42">
        <v>0.27951742137822794</v>
      </c>
      <c r="F3" s="34"/>
      <c r="G3" s="50" t="s">
        <v>365</v>
      </c>
      <c r="H3" s="51">
        <v>56829471.959999993</v>
      </c>
      <c r="I3" s="52">
        <v>0.2848068341399097</v>
      </c>
      <c r="J3" s="34"/>
      <c r="K3" s="21" t="s">
        <v>365</v>
      </c>
      <c r="L3" s="22" t="s">
        <v>2</v>
      </c>
      <c r="M3" s="25">
        <v>56829471.960000001</v>
      </c>
      <c r="N3" s="45"/>
    </row>
    <row r="4" spans="2:14" x14ac:dyDescent="0.3">
      <c r="B4" s="41"/>
      <c r="C4" s="23" t="s">
        <v>22</v>
      </c>
      <c r="D4" s="24">
        <v>44880558.700000003</v>
      </c>
      <c r="E4" s="42">
        <v>0.22492360736299513</v>
      </c>
      <c r="F4" s="34"/>
      <c r="G4" s="15" t="s">
        <v>391</v>
      </c>
      <c r="H4" s="48">
        <v>25384274.309999999</v>
      </c>
      <c r="I4" s="42">
        <v>0.12721594190174385</v>
      </c>
      <c r="J4" s="34"/>
      <c r="K4" s="11"/>
      <c r="L4" s="46" t="s">
        <v>21</v>
      </c>
      <c r="M4" s="33">
        <v>35683716.280000001</v>
      </c>
      <c r="N4" s="42">
        <v>0.62790863700293298</v>
      </c>
    </row>
    <row r="5" spans="2:14" x14ac:dyDescent="0.3">
      <c r="B5" s="41"/>
      <c r="C5" s="23" t="s">
        <v>27</v>
      </c>
      <c r="D5" s="24">
        <v>27797801.82</v>
      </c>
      <c r="E5" s="42">
        <v>0.13931158709296618</v>
      </c>
      <c r="F5" s="34"/>
      <c r="G5" s="15" t="s">
        <v>394</v>
      </c>
      <c r="H5" s="48">
        <v>15708929.300000001</v>
      </c>
      <c r="I5" s="42">
        <v>7.8726939866866019E-2</v>
      </c>
      <c r="J5" s="34"/>
      <c r="K5" s="11"/>
      <c r="L5" s="46" t="s">
        <v>22</v>
      </c>
      <c r="M5" s="33">
        <v>9272014.1999999993</v>
      </c>
      <c r="N5" s="42">
        <v>0.16315502995569273</v>
      </c>
    </row>
    <row r="6" spans="2:14" x14ac:dyDescent="0.3">
      <c r="B6" s="26"/>
      <c r="C6" s="23" t="s">
        <v>54</v>
      </c>
      <c r="D6" s="24">
        <v>20216360.210000001</v>
      </c>
      <c r="E6" s="42">
        <v>0.10131640063970322</v>
      </c>
      <c r="F6" s="34"/>
      <c r="G6" s="15" t="s">
        <v>367</v>
      </c>
      <c r="H6" s="48">
        <v>10580418.289999999</v>
      </c>
      <c r="I6" s="42">
        <v>5.3024871305717779E-2</v>
      </c>
      <c r="J6" s="34"/>
      <c r="K6" s="11"/>
      <c r="L6" s="46" t="s">
        <v>26</v>
      </c>
      <c r="M6" s="33">
        <v>7642637.9000000004</v>
      </c>
      <c r="N6" s="42">
        <v>0.13448370425435852</v>
      </c>
    </row>
    <row r="7" spans="2:14" x14ac:dyDescent="0.3">
      <c r="B7" s="26"/>
      <c r="C7" s="23" t="s">
        <v>23</v>
      </c>
      <c r="D7" s="24">
        <v>15742361.300000001</v>
      </c>
      <c r="E7" s="42">
        <v>7.8894487826587811E-2</v>
      </c>
      <c r="F7" s="34"/>
      <c r="G7" s="15" t="s">
        <v>398</v>
      </c>
      <c r="H7" s="48">
        <v>9552215.2400000002</v>
      </c>
      <c r="I7" s="42">
        <v>4.787192433254131E-2</v>
      </c>
      <c r="J7" s="34"/>
      <c r="K7" s="11"/>
      <c r="L7" s="46" t="s">
        <v>27</v>
      </c>
      <c r="M7" s="33">
        <v>4231103.58</v>
      </c>
      <c r="N7" s="42">
        <v>7.4452628787015737E-2</v>
      </c>
    </row>
    <row r="8" spans="2:14" x14ac:dyDescent="0.3">
      <c r="B8" s="26"/>
      <c r="C8" s="23" t="s">
        <v>26</v>
      </c>
      <c r="D8" s="24">
        <v>9878273.1500000004</v>
      </c>
      <c r="E8" s="42">
        <v>4.9505997602810971E-2</v>
      </c>
      <c r="F8" s="34"/>
      <c r="G8" s="15" t="s">
        <v>399</v>
      </c>
      <c r="H8" s="48">
        <v>9414901.3599999994</v>
      </c>
      <c r="I8" s="42">
        <v>4.7183761481515804E-2</v>
      </c>
      <c r="J8" s="34"/>
      <c r="K8" s="21" t="s">
        <v>391</v>
      </c>
      <c r="L8" s="22" t="s">
        <v>2</v>
      </c>
      <c r="M8" s="25">
        <v>25384274.309999999</v>
      </c>
      <c r="N8" s="45"/>
    </row>
    <row r="9" spans="2:14" x14ac:dyDescent="0.3">
      <c r="B9" s="26"/>
      <c r="C9" s="23" t="s">
        <v>25</v>
      </c>
      <c r="D9" s="24">
        <v>9552215.2400000002</v>
      </c>
      <c r="E9" s="42">
        <v>4.7871924332541303E-2</v>
      </c>
      <c r="F9" s="34"/>
      <c r="G9" s="15" t="s">
        <v>388</v>
      </c>
      <c r="H9" s="48">
        <v>8550294.7199999988</v>
      </c>
      <c r="I9" s="42">
        <v>4.2850695003473084E-2</v>
      </c>
      <c r="J9" s="34"/>
      <c r="K9" s="11"/>
      <c r="L9" s="46" t="s">
        <v>27</v>
      </c>
      <c r="M9" s="20">
        <v>23566698.239999998</v>
      </c>
      <c r="N9" s="42">
        <v>0.9283975563845851</v>
      </c>
    </row>
    <row r="10" spans="2:14" x14ac:dyDescent="0.3">
      <c r="B10" s="26"/>
      <c r="C10" s="23" t="s">
        <v>33</v>
      </c>
      <c r="D10" s="24">
        <v>9414901.3599999994</v>
      </c>
      <c r="E10" s="42">
        <v>4.7183761481515797E-2</v>
      </c>
      <c r="F10" s="34"/>
      <c r="G10" s="15" t="s">
        <v>392</v>
      </c>
      <c r="H10" s="48">
        <v>8204678.54</v>
      </c>
      <c r="I10" s="42">
        <v>4.1118603420383724E-2</v>
      </c>
      <c r="J10" s="34"/>
      <c r="K10" s="11"/>
      <c r="L10" s="46" t="s">
        <v>7</v>
      </c>
      <c r="M10" s="20">
        <v>1817576.07</v>
      </c>
      <c r="N10" s="42">
        <v>7.1602443615414901E-2</v>
      </c>
    </row>
    <row r="11" spans="2:14" x14ac:dyDescent="0.3">
      <c r="B11" s="26"/>
      <c r="C11" s="23" t="s">
        <v>29</v>
      </c>
      <c r="D11" s="24">
        <v>3821798.21</v>
      </c>
      <c r="E11" s="42">
        <v>1.9153340887590992E-2</v>
      </c>
      <c r="F11" s="34"/>
      <c r="G11" s="15" t="s">
        <v>384</v>
      </c>
      <c r="H11" s="48">
        <v>8095024.7999999998</v>
      </c>
      <c r="I11" s="42">
        <v>4.0569062249862509E-2</v>
      </c>
      <c r="J11" s="34"/>
      <c r="K11" s="21" t="s">
        <v>394</v>
      </c>
      <c r="L11" s="22" t="s">
        <v>2</v>
      </c>
      <c r="M11" s="25">
        <v>15708929.300000001</v>
      </c>
      <c r="N11" s="45"/>
    </row>
    <row r="12" spans="2:14" x14ac:dyDescent="0.3">
      <c r="B12" s="26"/>
      <c r="C12" s="23" t="s">
        <v>7</v>
      </c>
      <c r="D12" s="24">
        <v>1817576.07</v>
      </c>
      <c r="E12" s="42">
        <v>9.1089723070015109E-3</v>
      </c>
      <c r="F12" s="34"/>
      <c r="G12" s="15" t="s">
        <v>385</v>
      </c>
      <c r="H12" s="48">
        <v>8017448.0800000001</v>
      </c>
      <c r="I12" s="42">
        <v>4.0180278415275598E-2</v>
      </c>
      <c r="J12" s="34"/>
      <c r="K12" s="11"/>
      <c r="L12" s="46" t="s">
        <v>23</v>
      </c>
      <c r="M12" s="20">
        <v>15708929.300000001</v>
      </c>
      <c r="N12" s="53">
        <v>1</v>
      </c>
    </row>
    <row r="13" spans="2:14" x14ac:dyDescent="0.3">
      <c r="B13" s="26"/>
      <c r="C13" s="23" t="s">
        <v>55</v>
      </c>
      <c r="D13" s="24">
        <v>217790.64</v>
      </c>
      <c r="E13" s="42">
        <v>1.0914805389598554E-3</v>
      </c>
      <c r="F13" s="34"/>
      <c r="G13" s="15" t="s">
        <v>366</v>
      </c>
      <c r="H13" s="48">
        <v>5865740.9699999997</v>
      </c>
      <c r="I13" s="42">
        <v>2.9396773503831498E-2</v>
      </c>
      <c r="J13" s="34"/>
      <c r="K13" s="21" t="s">
        <v>367</v>
      </c>
      <c r="L13" s="22" t="s">
        <v>2</v>
      </c>
      <c r="M13" s="25">
        <v>10580418.289999999</v>
      </c>
      <c r="N13" s="45"/>
    </row>
    <row r="14" spans="2:14" x14ac:dyDescent="0.3">
      <c r="B14" s="26"/>
      <c r="C14" s="23" t="s">
        <v>36</v>
      </c>
      <c r="D14" s="24">
        <v>178329.60000000001</v>
      </c>
      <c r="E14" s="42">
        <v>8.9371741559001535E-4</v>
      </c>
      <c r="F14" s="34"/>
      <c r="G14" s="15" t="s">
        <v>393</v>
      </c>
      <c r="H14" s="48">
        <v>5231366.1500000004</v>
      </c>
      <c r="I14" s="42">
        <v>2.6217537837706636E-2</v>
      </c>
      <c r="J14" s="34"/>
      <c r="K14" s="11"/>
      <c r="L14" s="46" t="s">
        <v>22</v>
      </c>
      <c r="M14" s="20">
        <v>8253503.3399999999</v>
      </c>
      <c r="N14" s="42">
        <v>0.78007344452541494</v>
      </c>
    </row>
    <row r="15" spans="2:14" x14ac:dyDescent="0.3">
      <c r="B15" s="26"/>
      <c r="C15" s="23" t="s">
        <v>18</v>
      </c>
      <c r="D15" s="24">
        <v>136989.85999999999</v>
      </c>
      <c r="E15" s="42">
        <v>6.8653899095404234E-4</v>
      </c>
      <c r="F15" s="34"/>
      <c r="G15" s="15" t="s">
        <v>400</v>
      </c>
      <c r="H15" s="48">
        <v>4039588.85</v>
      </c>
      <c r="I15" s="42">
        <v>2.024482142655085E-2</v>
      </c>
      <c r="J15" s="34"/>
      <c r="K15" s="11"/>
      <c r="L15" s="46" t="s">
        <v>21</v>
      </c>
      <c r="M15" s="20">
        <v>2326914.9500000002</v>
      </c>
      <c r="N15" s="42">
        <v>0.21992655547458514</v>
      </c>
    </row>
    <row r="16" spans="2:14" x14ac:dyDescent="0.3">
      <c r="B16" s="26"/>
      <c r="C16" s="23" t="s">
        <v>31</v>
      </c>
      <c r="D16" s="24">
        <v>57952</v>
      </c>
      <c r="E16" s="42">
        <v>2.9043250065200935E-4</v>
      </c>
      <c r="F16" s="34"/>
      <c r="G16" s="15" t="s">
        <v>386</v>
      </c>
      <c r="H16" s="48">
        <v>3542295.4</v>
      </c>
      <c r="I16" s="42">
        <v>1.7752583363302557E-2</v>
      </c>
      <c r="J16" s="34"/>
      <c r="K16" s="21" t="s">
        <v>398</v>
      </c>
      <c r="L16" s="22" t="s">
        <v>2</v>
      </c>
      <c r="M16" s="25">
        <v>9552215.2400000002</v>
      </c>
      <c r="N16" s="45"/>
    </row>
    <row r="17" spans="2:14" x14ac:dyDescent="0.3">
      <c r="B17" s="26"/>
      <c r="C17" s="23" t="s">
        <v>30</v>
      </c>
      <c r="D17" s="24">
        <v>49950</v>
      </c>
      <c r="E17" s="42">
        <v>2.5032964190308991E-4</v>
      </c>
      <c r="F17" s="34"/>
      <c r="G17" s="15" t="s">
        <v>387</v>
      </c>
      <c r="H17" s="48">
        <v>2946352.8</v>
      </c>
      <c r="I17" s="42">
        <v>1.4765954781664993E-2</v>
      </c>
      <c r="J17" s="34"/>
      <c r="K17" s="11"/>
      <c r="L17" s="46" t="s">
        <v>25</v>
      </c>
      <c r="M17" s="20">
        <v>9552215.2400000002</v>
      </c>
      <c r="N17" s="53">
        <v>1</v>
      </c>
    </row>
    <row r="18" spans="2:14" ht="15" thickBot="1" x14ac:dyDescent="0.35">
      <c r="B18" s="31"/>
      <c r="C18" s="43" t="s">
        <v>579</v>
      </c>
      <c r="D18" s="32">
        <v>199536897.11000001</v>
      </c>
      <c r="E18" s="49">
        <v>0.99999999999999989</v>
      </c>
      <c r="F18" s="34"/>
      <c r="G18" s="15" t="s">
        <v>396</v>
      </c>
      <c r="H18" s="48">
        <v>2217835.25</v>
      </c>
      <c r="I18" s="42">
        <v>1.1114912991642642E-2</v>
      </c>
      <c r="J18" s="34"/>
      <c r="K18" s="21" t="s">
        <v>399</v>
      </c>
      <c r="L18" s="22" t="s">
        <v>2</v>
      </c>
      <c r="M18" s="25">
        <v>9414901.3599999994</v>
      </c>
      <c r="N18" s="45"/>
    </row>
    <row r="19" spans="2:14" x14ac:dyDescent="0.3">
      <c r="B19" s="34"/>
      <c r="C19" s="27"/>
      <c r="D19" s="28"/>
      <c r="E19" s="35"/>
      <c r="F19" s="34"/>
      <c r="G19" s="15" t="s">
        <v>368</v>
      </c>
      <c r="H19" s="48">
        <v>1941097.54</v>
      </c>
      <c r="I19" s="42">
        <v>9.7280130547981753E-3</v>
      </c>
      <c r="J19" s="34"/>
      <c r="K19" s="11"/>
      <c r="L19" s="46" t="s">
        <v>33</v>
      </c>
      <c r="M19" s="20">
        <v>9414901.3599999994</v>
      </c>
      <c r="N19" s="53">
        <v>1</v>
      </c>
    </row>
    <row r="20" spans="2:14" x14ac:dyDescent="0.3">
      <c r="B20" s="34"/>
      <c r="C20" s="27"/>
      <c r="D20" s="28"/>
      <c r="E20" s="35"/>
      <c r="F20" s="34"/>
      <c r="G20" s="15" t="s">
        <v>389</v>
      </c>
      <c r="H20" s="48">
        <v>1601061.28</v>
      </c>
      <c r="I20" s="42">
        <v>8.0238858235696271E-3</v>
      </c>
      <c r="J20" s="34"/>
      <c r="K20" s="21" t="s">
        <v>388</v>
      </c>
      <c r="L20" s="22" t="s">
        <v>2</v>
      </c>
      <c r="M20" s="25">
        <v>8550294.7199999988</v>
      </c>
      <c r="N20" s="45"/>
    </row>
    <row r="21" spans="2:14" x14ac:dyDescent="0.3">
      <c r="B21" s="34"/>
      <c r="C21" s="27"/>
      <c r="D21" s="28"/>
      <c r="E21" s="35"/>
      <c r="F21" s="34"/>
      <c r="G21" s="15" t="s">
        <v>370</v>
      </c>
      <c r="H21" s="48">
        <v>1511929.9400000002</v>
      </c>
      <c r="I21" s="42">
        <v>7.577194804059266E-3</v>
      </c>
      <c r="J21" s="34"/>
      <c r="K21" s="11"/>
      <c r="L21" s="46" t="s">
        <v>54</v>
      </c>
      <c r="M21" s="20">
        <v>6780315.5199999996</v>
      </c>
      <c r="N21" s="42">
        <v>0.79299202449012196</v>
      </c>
    </row>
    <row r="22" spans="2:14" x14ac:dyDescent="0.3">
      <c r="B22" s="34"/>
      <c r="C22" s="27"/>
      <c r="D22" s="28"/>
      <c r="E22" s="35"/>
      <c r="F22" s="34"/>
      <c r="G22" s="15" t="s">
        <v>369</v>
      </c>
      <c r="H22" s="48">
        <v>1409174.48</v>
      </c>
      <c r="I22" s="42">
        <v>7.0622250842316912E-3</v>
      </c>
      <c r="J22" s="34"/>
      <c r="K22" s="11"/>
      <c r="L22" s="46" t="s">
        <v>22</v>
      </c>
      <c r="M22" s="20">
        <v>1769979.2</v>
      </c>
      <c r="N22" s="42">
        <v>0.20700797550987812</v>
      </c>
    </row>
    <row r="23" spans="2:14" x14ac:dyDescent="0.3">
      <c r="B23" s="34"/>
      <c r="C23" s="27"/>
      <c r="D23" s="28"/>
      <c r="E23" s="35"/>
      <c r="F23" s="34"/>
      <c r="G23" s="15" t="s">
        <v>390</v>
      </c>
      <c r="H23" s="48">
        <v>1382879.6</v>
      </c>
      <c r="I23" s="42">
        <v>6.9304455468085745E-3</v>
      </c>
      <c r="J23" s="34"/>
      <c r="K23" s="21" t="s">
        <v>392</v>
      </c>
      <c r="L23" s="22" t="s">
        <v>2</v>
      </c>
      <c r="M23" s="25">
        <v>8204678.54</v>
      </c>
      <c r="N23" s="45"/>
    </row>
    <row r="24" spans="2:14" x14ac:dyDescent="0.3">
      <c r="B24" s="34"/>
      <c r="C24" s="27"/>
      <c r="D24" s="28"/>
      <c r="E24" s="35"/>
      <c r="F24" s="34"/>
      <c r="G24" s="15" t="s">
        <v>371</v>
      </c>
      <c r="H24" s="48">
        <v>1323729.1599999999</v>
      </c>
      <c r="I24" s="42">
        <v>6.6340069389284892E-3</v>
      </c>
      <c r="J24" s="34"/>
      <c r="K24" s="11"/>
      <c r="L24" s="46" t="s">
        <v>54</v>
      </c>
      <c r="M24" s="20">
        <v>8204678.54</v>
      </c>
      <c r="N24" s="53">
        <v>1</v>
      </c>
    </row>
    <row r="25" spans="2:14" x14ac:dyDescent="0.3">
      <c r="B25" s="34"/>
      <c r="C25" s="27"/>
      <c r="D25" s="28"/>
      <c r="E25" s="35"/>
      <c r="F25" s="34"/>
      <c r="G25" s="15" t="s">
        <v>372</v>
      </c>
      <c r="H25" s="48">
        <v>1134166.47</v>
      </c>
      <c r="I25" s="42">
        <v>5.6839937195914238E-3</v>
      </c>
      <c r="J25" s="34"/>
      <c r="K25" s="21" t="s">
        <v>384</v>
      </c>
      <c r="L25" s="22" t="s">
        <v>2</v>
      </c>
      <c r="M25" s="25">
        <v>8095024.7999999998</v>
      </c>
      <c r="N25" s="45"/>
    </row>
    <row r="26" spans="2:14" x14ac:dyDescent="0.3">
      <c r="B26" s="34"/>
      <c r="C26" s="27"/>
      <c r="D26" s="28"/>
      <c r="E26" s="35"/>
      <c r="F26" s="34"/>
      <c r="G26" s="15" t="s">
        <v>373</v>
      </c>
      <c r="H26" s="48">
        <v>950838.51</v>
      </c>
      <c r="I26" s="42">
        <v>4.7652265008201727E-3</v>
      </c>
      <c r="J26" s="34"/>
      <c r="K26" s="11"/>
      <c r="L26" s="46" t="s">
        <v>22</v>
      </c>
      <c r="M26" s="20">
        <v>8095024.7999999998</v>
      </c>
      <c r="N26" s="53">
        <v>1</v>
      </c>
    </row>
    <row r="27" spans="2:14" x14ac:dyDescent="0.3">
      <c r="B27" s="34"/>
      <c r="C27" s="27"/>
      <c r="D27" s="28"/>
      <c r="E27" s="35"/>
      <c r="F27" s="34"/>
      <c r="G27" s="15" t="s">
        <v>374</v>
      </c>
      <c r="H27" s="48">
        <v>791162.58</v>
      </c>
      <c r="I27" s="42">
        <v>3.9649939006711661E-3</v>
      </c>
      <c r="J27" s="34"/>
      <c r="K27" s="21" t="s">
        <v>385</v>
      </c>
      <c r="L27" s="22" t="s">
        <v>2</v>
      </c>
      <c r="M27" s="25">
        <v>8017448.0800000001</v>
      </c>
      <c r="N27" s="45"/>
    </row>
    <row r="28" spans="2:14" ht="15" thickBot="1" x14ac:dyDescent="0.35">
      <c r="B28" s="34"/>
      <c r="C28" s="27"/>
      <c r="D28" s="28"/>
      <c r="E28" s="35"/>
      <c r="F28" s="34"/>
      <c r="G28" s="15" t="s">
        <v>375</v>
      </c>
      <c r="H28" s="48">
        <v>728261.51</v>
      </c>
      <c r="I28" s="42">
        <v>3.649758618820892E-3</v>
      </c>
      <c r="J28" s="34"/>
      <c r="K28" s="13"/>
      <c r="L28" s="47" t="s">
        <v>22</v>
      </c>
      <c r="M28" s="16">
        <v>8017448.0800000001</v>
      </c>
      <c r="N28" s="54">
        <v>1</v>
      </c>
    </row>
    <row r="29" spans="2:14" x14ac:dyDescent="0.3">
      <c r="B29" s="34"/>
      <c r="C29" s="27"/>
      <c r="D29" s="28"/>
      <c r="E29" s="35"/>
      <c r="F29" s="34"/>
      <c r="G29" s="15" t="s">
        <v>376</v>
      </c>
      <c r="H29" s="48">
        <v>609594.82999999996</v>
      </c>
      <c r="I29" s="42">
        <v>3.0550481581556551E-3</v>
      </c>
      <c r="J29" s="34"/>
    </row>
    <row r="30" spans="2:14" x14ac:dyDescent="0.3">
      <c r="B30" s="34"/>
      <c r="C30" s="27"/>
      <c r="D30" s="28"/>
      <c r="E30" s="35"/>
      <c r="F30" s="34"/>
      <c r="G30" s="15" t="s">
        <v>377</v>
      </c>
      <c r="H30" s="48">
        <v>510632.59</v>
      </c>
      <c r="I30" s="42">
        <v>2.5590885565314786E-3</v>
      </c>
      <c r="J30" s="34"/>
      <c r="L30" s="27"/>
      <c r="M30" s="33"/>
      <c r="N30" s="35"/>
    </row>
    <row r="31" spans="2:14" x14ac:dyDescent="0.3">
      <c r="B31" s="34"/>
      <c r="C31" s="37"/>
      <c r="D31" s="38"/>
      <c r="E31" s="39"/>
      <c r="F31" s="34"/>
      <c r="G31" s="15" t="s">
        <v>378</v>
      </c>
      <c r="H31" s="48">
        <v>426191.04</v>
      </c>
      <c r="I31" s="42">
        <v>2.1359009094195293E-3</v>
      </c>
      <c r="J31" s="34"/>
      <c r="L31" s="27"/>
      <c r="M31" s="33"/>
      <c r="N31" s="35"/>
    </row>
    <row r="32" spans="2:14" x14ac:dyDescent="0.3">
      <c r="B32" s="34"/>
      <c r="C32" s="34"/>
      <c r="D32" s="34"/>
      <c r="E32" s="34"/>
      <c r="F32" s="34"/>
      <c r="G32" s="15" t="s">
        <v>379</v>
      </c>
      <c r="H32" s="48">
        <v>331091.75</v>
      </c>
      <c r="I32" s="42">
        <v>1.6593008851765241E-3</v>
      </c>
      <c r="J32" s="34"/>
      <c r="K32" s="36"/>
      <c r="L32" s="14"/>
      <c r="M32" s="30"/>
      <c r="N32" s="34"/>
    </row>
    <row r="33" spans="2:14" x14ac:dyDescent="0.3">
      <c r="B33" s="34"/>
      <c r="C33" s="34"/>
      <c r="D33" s="34"/>
      <c r="E33" s="34"/>
      <c r="F33" s="34"/>
      <c r="G33" s="15" t="s">
        <v>380</v>
      </c>
      <c r="H33" s="48">
        <v>209599.69</v>
      </c>
      <c r="I33" s="42">
        <v>1.0504307375515248E-3</v>
      </c>
      <c r="J33" s="34"/>
      <c r="K33" s="34"/>
      <c r="L33" s="27"/>
      <c r="M33" s="33"/>
      <c r="N33" s="35"/>
    </row>
    <row r="34" spans="2:14" x14ac:dyDescent="0.3">
      <c r="B34" s="34"/>
      <c r="C34" s="34"/>
      <c r="D34" s="34"/>
      <c r="E34" s="34"/>
      <c r="F34" s="34"/>
      <c r="G34" s="15" t="s">
        <v>381</v>
      </c>
      <c r="H34" s="48">
        <v>158219.53</v>
      </c>
      <c r="I34" s="42">
        <v>7.9293369943894286E-4</v>
      </c>
      <c r="J34" s="34"/>
    </row>
    <row r="35" spans="2:14" x14ac:dyDescent="0.3">
      <c r="B35" s="34"/>
      <c r="C35" s="34"/>
      <c r="D35" s="34"/>
      <c r="E35" s="34"/>
      <c r="F35" s="34"/>
      <c r="G35" s="15" t="s">
        <v>401</v>
      </c>
      <c r="H35" s="48">
        <v>136989.85999999999</v>
      </c>
      <c r="I35" s="42">
        <v>6.8653899095404245E-4</v>
      </c>
      <c r="J35" s="34"/>
    </row>
    <row r="36" spans="2:14" x14ac:dyDescent="0.3">
      <c r="B36" s="34"/>
      <c r="C36" s="34"/>
      <c r="D36" s="34"/>
      <c r="E36" s="34"/>
      <c r="F36" s="34"/>
      <c r="G36" s="15" t="s">
        <v>402</v>
      </c>
      <c r="H36" s="48">
        <v>57952</v>
      </c>
      <c r="I36" s="42">
        <v>2.9043250065200941E-4</v>
      </c>
      <c r="J36" s="34"/>
    </row>
    <row r="37" spans="2:14" x14ac:dyDescent="0.3">
      <c r="B37" s="34"/>
      <c r="C37" s="34"/>
      <c r="D37" s="34"/>
      <c r="E37" s="34"/>
      <c r="F37" s="34"/>
      <c r="G37" s="15" t="s">
        <v>68</v>
      </c>
      <c r="H37" s="48">
        <v>49950</v>
      </c>
      <c r="I37" s="42">
        <v>2.5032964190308996E-4</v>
      </c>
      <c r="J37" s="34"/>
    </row>
    <row r="38" spans="2:14" x14ac:dyDescent="0.3">
      <c r="B38" s="34"/>
      <c r="C38" s="34"/>
      <c r="D38" s="34"/>
      <c r="E38" s="34"/>
      <c r="F38" s="34"/>
      <c r="G38" s="15" t="s">
        <v>395</v>
      </c>
      <c r="H38" s="48">
        <v>33432</v>
      </c>
      <c r="I38" s="42">
        <v>1.6754795972180386E-4</v>
      </c>
      <c r="J38" s="34"/>
    </row>
    <row r="39" spans="2:14" x14ac:dyDescent="0.3">
      <c r="B39" s="34"/>
      <c r="C39" s="34"/>
      <c r="D39" s="34"/>
      <c r="E39" s="34"/>
      <c r="F39" s="34"/>
      <c r="G39" s="15" t="s">
        <v>382</v>
      </c>
      <c r="H39" s="48">
        <v>21246.5</v>
      </c>
      <c r="I39" s="42">
        <v>1.0647905378766767E-4</v>
      </c>
      <c r="J39" s="34"/>
    </row>
    <row r="40" spans="2:14" x14ac:dyDescent="0.3">
      <c r="B40" s="34"/>
      <c r="C40" s="34"/>
      <c r="D40" s="34"/>
      <c r="E40" s="34"/>
      <c r="F40" s="34"/>
      <c r="G40" s="15" t="s">
        <v>383</v>
      </c>
      <c r="H40" s="48">
        <v>19060.23</v>
      </c>
      <c r="I40" s="42">
        <v>9.5522333343153791E-5</v>
      </c>
      <c r="J40" s="34"/>
      <c r="K40" s="34"/>
      <c r="L40" s="27"/>
      <c r="M40" s="33"/>
      <c r="N40" s="35"/>
    </row>
    <row r="41" spans="2:14" x14ac:dyDescent="0.3">
      <c r="B41" s="34"/>
      <c r="C41" s="34"/>
      <c r="D41" s="34"/>
      <c r="E41" s="34"/>
      <c r="F41" s="34"/>
      <c r="G41" s="15" t="s">
        <v>397</v>
      </c>
      <c r="H41" s="48">
        <v>17800</v>
      </c>
      <c r="I41" s="42">
        <v>8.9206559076576605E-5</v>
      </c>
      <c r="J41" s="34"/>
      <c r="K41" s="36"/>
      <c r="L41" s="14"/>
      <c r="M41" s="30"/>
      <c r="N41" s="34"/>
    </row>
    <row r="42" spans="2:14" ht="15" thickBot="1" x14ac:dyDescent="0.35">
      <c r="B42" s="34"/>
      <c r="C42" s="34"/>
      <c r="D42" s="34"/>
      <c r="E42" s="34"/>
      <c r="F42" s="34"/>
      <c r="G42" s="44" t="s">
        <v>579</v>
      </c>
      <c r="H42" s="32">
        <v>199536897.10999998</v>
      </c>
      <c r="I42" s="49">
        <v>1</v>
      </c>
      <c r="J42" s="34"/>
      <c r="K42" s="34"/>
      <c r="L42" s="27"/>
      <c r="M42" s="33"/>
      <c r="N42" s="35"/>
    </row>
  </sheetData>
  <sortState ref="F3:H47">
    <sortCondition descending="1" ref="H2"/>
  </sortState>
  <conditionalFormatting sqref="G2:G41">
    <cfRule type="duplicateValues" dxfId="25" priority="12"/>
  </conditionalFormatting>
  <conditionalFormatting sqref="K27 K25 K23 K20 K18 K16 K13 K8 K3 K11">
    <cfRule type="duplicateValues" dxfId="23" priority="13"/>
  </conditionalFormatting>
  <conditionalFormatting sqref="J4">
    <cfRule type="cellIs" dxfId="21" priority="11" operator="equal">
      <formula>$M$13</formula>
    </cfRule>
  </conditionalFormatting>
  <conditionalFormatting sqref="L4:L7">
    <cfRule type="cellIs" dxfId="19" priority="10" operator="equal">
      <formula>$M$13</formula>
    </cfRule>
  </conditionalFormatting>
  <conditionalFormatting sqref="L9:L10">
    <cfRule type="cellIs" dxfId="17" priority="9" operator="equal">
      <formula>$M$18</formula>
    </cfRule>
  </conditionalFormatting>
  <conditionalFormatting sqref="L12">
    <cfRule type="cellIs" dxfId="15" priority="8" operator="equal">
      <formula>$M$21</formula>
    </cfRule>
  </conditionalFormatting>
  <conditionalFormatting sqref="L14:L15">
    <cfRule type="cellIs" dxfId="13" priority="7" operator="equal">
      <formula>$M$23</formula>
    </cfRule>
  </conditionalFormatting>
  <conditionalFormatting sqref="L17">
    <cfRule type="cellIs" dxfId="11" priority="6" operator="equal">
      <formula>$M$26</formula>
    </cfRule>
  </conditionalFormatting>
  <conditionalFormatting sqref="L19">
    <cfRule type="cellIs" dxfId="9" priority="5" operator="equal">
      <formula>$M$28</formula>
    </cfRule>
  </conditionalFormatting>
  <conditionalFormatting sqref="L21:L22">
    <cfRule type="cellIs" dxfId="7" priority="4" operator="equal">
      <formula>$M$30</formula>
    </cfRule>
  </conditionalFormatting>
  <conditionalFormatting sqref="L24">
    <cfRule type="cellIs" dxfId="5" priority="3" operator="equal">
      <formula>$M$33</formula>
    </cfRule>
  </conditionalFormatting>
  <conditionalFormatting sqref="L26">
    <cfRule type="cellIs" dxfId="3" priority="2" operator="equal">
      <formula>$M$35</formula>
    </cfRule>
  </conditionalFormatting>
  <conditionalFormatting sqref="L28">
    <cfRule type="cellIs" dxfId="1" priority="1" operator="equal">
      <formula>$M$37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BF3BA0-5990-4A50-8CBF-75F98F67C1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база</vt:lpstr>
      <vt:lpstr>ДФО + В Сиб</vt:lpstr>
      <vt:lpstr>Саха республика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Кирик Виктория Анатольевна</dc:creator>
  <cp:lastModifiedBy>Белокопытов Андрей Николаевич</cp:lastModifiedBy>
  <dcterms:created xsi:type="dcterms:W3CDTF">2026-07-24T11:41:31Z</dcterms:created>
  <dcterms:modified xsi:type="dcterms:W3CDTF">2026-07-31T10:09:05Z</dcterms:modified>
</cp:coreProperties>
</file>