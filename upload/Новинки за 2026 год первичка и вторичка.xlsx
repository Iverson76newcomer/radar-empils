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/>
  </bookViews>
  <sheets>
    <sheet name="Первичные и вторичные продажи" sheetId="2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2" l="1"/>
  <c r="K32" i="2"/>
  <c r="L32" i="2"/>
  <c r="M32" i="2"/>
  <c r="I32" i="2"/>
  <c r="J27" i="2"/>
  <c r="K27" i="2"/>
  <c r="L27" i="2"/>
  <c r="M27" i="2"/>
  <c r="I27" i="2"/>
  <c r="J24" i="2"/>
  <c r="K24" i="2"/>
  <c r="L24" i="2"/>
  <c r="M24" i="2"/>
  <c r="I24" i="2"/>
  <c r="J21" i="2"/>
  <c r="K21" i="2"/>
  <c r="L21" i="2"/>
  <c r="M21" i="2"/>
  <c r="I21" i="2"/>
  <c r="J17" i="2"/>
  <c r="K17" i="2"/>
  <c r="L17" i="2"/>
  <c r="M17" i="2"/>
  <c r="I17" i="2"/>
  <c r="K1" i="2" l="1"/>
  <c r="L1" i="2"/>
  <c r="J1" i="2" l="1"/>
  <c r="I1" i="2"/>
</calcChain>
</file>

<file path=xl/sharedStrings.xml><?xml version="1.0" encoding="utf-8"?>
<sst xmlns="http://schemas.openxmlformats.org/spreadsheetml/2006/main" count="139" uniqueCount="50">
  <si>
    <t>Период год</t>
  </si>
  <si>
    <t>Серия торговой марки</t>
  </si>
  <si>
    <t>Код</t>
  </si>
  <si>
    <t>Номенклатура</t>
  </si>
  <si>
    <t>Статус продукции</t>
  </si>
  <si>
    <t>Вид продукции</t>
  </si>
  <si>
    <t>Тип продукции</t>
  </si>
  <si>
    <t>Краска интерьерная моющаяся</t>
  </si>
  <si>
    <t>Краски</t>
  </si>
  <si>
    <t>Декоративные составы</t>
  </si>
  <si>
    <t>Краска для потолков</t>
  </si>
  <si>
    <t>NEWTONE</t>
  </si>
  <si>
    <t>PROFIWOOD</t>
  </si>
  <si>
    <t>Новинка продаж</t>
  </si>
  <si>
    <t>Ореол</t>
  </si>
  <si>
    <t>Краска ВД «NEWTONE SKY» для потолков ультрабелая 2.5 л 4 кг</t>
  </si>
  <si>
    <t>Краска ВД «NEWTONE SKY» для потолков ультрабелая 9 л 14.5 кг</t>
  </si>
  <si>
    <t>Краска ВД «NEWTONE ABSOLUTE BLACK» для интерьеров моющаяся глубокоматовая черная RAL 9005 2.5 л 3.4 кг</t>
  </si>
  <si>
    <t>Краска ВД «NEWTONE ABSOLUTE BLACK» для интерьеров моющаяся глубокоматовая черная RAL 9005 10 л 13.9 кг</t>
  </si>
  <si>
    <t>Антисептик кроющий PROFIWOOD бежевый 0.8 л 1 кг</t>
  </si>
  <si>
    <t>Антисептик кроющий ВД</t>
  </si>
  <si>
    <t>Антисептик кроющий PROFIWOOD бежевый 2.4 л 3 кг</t>
  </si>
  <si>
    <t>Антисептик кроющий PROFIWOOD серый туман 0.8 л 0.9 кг</t>
  </si>
  <si>
    <t>Антисептик кроющий PROFIWOOD серый туман 2.4 л 2.7 кг</t>
  </si>
  <si>
    <t>Антисептик кроющий PROFIWOOD скандинавский серый 0.8 л 1 кг</t>
  </si>
  <si>
    <t>Антисептик кроющий PROFIWOOD скандинавский серый 2.4 л 3 кг</t>
  </si>
  <si>
    <t>Антисептик кроющий PROFIWOOD горький шоколад 0.8 л 0.9 кг</t>
  </si>
  <si>
    <t>Антисептик кроющий PROFIWOOD горький шоколад 2.4 л 2.7 кг</t>
  </si>
  <si>
    <t>Антисептик кроющий PROFIWOOD шоколадный мусс 0.8 л 0.9 кг</t>
  </si>
  <si>
    <t>Антисептик кроющий PROFIWOOD шоколадный мусс 2.4 л 2.7 кг</t>
  </si>
  <si>
    <t>Антисептик кроющий PROFIWOOD белый База А 0.8 л 1 кг</t>
  </si>
  <si>
    <t>Антисептик кроющий PROFIWOOD белый База А 2.1 л 2.6 кг</t>
  </si>
  <si>
    <t>Антисептик кроющий PROFIWOOD База С 0.8 л 0.9 кг</t>
  </si>
  <si>
    <t>Антисептик кроющий PROFIWOOD База С 2.1 л 2.3 кг</t>
  </si>
  <si>
    <t>Краска для плит OSB Ореол (база А) 1 кг</t>
  </si>
  <si>
    <t>Краска для плит OSB</t>
  </si>
  <si>
    <t>Краска для плит OSB Ореол (база А) 6 кг</t>
  </si>
  <si>
    <t>Краска для плит OSB Ореол (база А) 12 кг</t>
  </si>
  <si>
    <t>Краска ВД резиновая Ореол (База А) 1.3 кг</t>
  </si>
  <si>
    <t xml:space="preserve">Краска резиновая </t>
  </si>
  <si>
    <t>Краска ВД резиновая Ореол (База А) 3 кг</t>
  </si>
  <si>
    <t>Краска ВД резиновая Ореол (База А) 6 кг</t>
  </si>
  <si>
    <t>Краска ВД резиновая Ореол (База А) 12 кг</t>
  </si>
  <si>
    <t>период: 01.01.2026-06.10.2026</t>
  </si>
  <si>
    <t>Первичка, кг</t>
  </si>
  <si>
    <t>Первичка, руб</t>
  </si>
  <si>
    <t>Вторичка, руб</t>
  </si>
  <si>
    <t>Вторичка, кг</t>
  </si>
  <si>
    <t>АКБ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</si>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</sst>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0"/>
      <name val="Arial"/>
      <family val="2"/>
      <charset val="204"/>
    </font>
    <font>
      <sz val="8"/>
      <name val="Arial"/>
    </font>
    <font>
      <b/>
      <sz val="8"/>
      <name val="Arial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3" fontId="0" fillId="0" borderId="0" xfId="0" applyNumberFormat="1"/>
    <xf numFmtId="0" fontId="3" fillId="2" borderId="5" xfId="1" applyNumberFormat="1" applyFont="1" applyFill="1" applyBorder="1" applyAlignment="1">
      <alignment horizontal="center" vertical="center" wrapText="1"/>
    </xf>
    <xf numFmtId="3" fontId="6" fillId="3" borderId="7" xfId="0" applyNumberFormat="1" applyFont="1" applyFill="1" applyBorder="1" applyAlignment="1" applyProtection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left" vertical="top" wrapText="1"/>
    </xf>
    <xf numFmtId="3" fontId="6" fillId="3" borderId="1" xfId="1" applyNumberFormat="1" applyFont="1" applyFill="1" applyBorder="1" applyAlignment="1">
      <alignment horizontal="right" vertical="top" wrapText="1"/>
    </xf>
    <xf numFmtId="0" fontId="6" fillId="3" borderId="7" xfId="0" applyNumberFormat="1" applyFont="1" applyFill="1" applyBorder="1" applyAlignment="1" applyProtection="1">
      <alignment horizontal="left" vertical="top" wrapText="1"/>
    </xf>
    <xf numFmtId="3" fontId="6" fillId="3" borderId="7" xfId="0" applyNumberFormat="1" applyFont="1" applyFill="1" applyBorder="1" applyAlignment="1" applyProtection="1">
      <alignment horizontal="right" vertical="top" wrapText="1"/>
    </xf>
    <xf numFmtId="3" fontId="4" fillId="3" borderId="1" xfId="1" applyNumberFormat="1" applyFont="1" applyFill="1" applyBorder="1" applyAlignment="1">
      <alignment horizontal="right" vertical="top"/>
    </xf>
    <xf numFmtId="0" fontId="4" fillId="3" borderId="1" xfId="1" applyNumberFormat="1" applyFont="1" applyFill="1" applyBorder="1" applyAlignment="1">
      <alignment horizontal="left" vertical="top"/>
    </xf>
    <xf numFmtId="0" fontId="2" fillId="3" borderId="2" xfId="1" applyFill="1" applyBorder="1" applyAlignment="1">
      <alignment horizontal="left" vertical="top"/>
    </xf>
    <xf numFmtId="0" fontId="6" fillId="3" borderId="2" xfId="1" applyNumberFormat="1" applyFont="1" applyFill="1" applyBorder="1" applyAlignment="1">
      <alignment horizontal="left" vertical="top" wrapText="1"/>
    </xf>
    <xf numFmtId="0" fontId="6" fillId="3" borderId="6" xfId="0" applyNumberFormat="1" applyFont="1" applyFill="1" applyBorder="1" applyAlignment="1" applyProtection="1">
      <alignment horizontal="left" vertical="top" wrapText="1"/>
    </xf>
    <xf numFmtId="0" fontId="0" fillId="0" borderId="9" xfId="0" applyBorder="1"/>
    <xf numFmtId="0" fontId="3" fillId="2" borderId="9" xfId="1" applyFont="1" applyFill="1" applyBorder="1" applyAlignment="1">
      <alignment horizontal="center" vertical="center" wrapText="1"/>
    </xf>
    <xf numFmtId="3" fontId="4" fillId="3" borderId="9" xfId="1" applyNumberFormat="1" applyFont="1" applyFill="1" applyBorder="1" applyAlignment="1">
      <alignment horizontal="right" vertical="top"/>
    </xf>
    <xf numFmtId="3" fontId="6" fillId="3" borderId="9" xfId="1" applyNumberFormat="1" applyFont="1" applyFill="1" applyBorder="1" applyAlignment="1">
      <alignment horizontal="right" vertical="top" wrapText="1"/>
    </xf>
    <xf numFmtId="3" fontId="6" fillId="3" borderId="9" xfId="0" applyNumberFormat="1" applyFont="1" applyFill="1" applyBorder="1" applyAlignment="1" applyProtection="1">
      <alignment horizontal="right" vertical="top" wrapText="1"/>
    </xf>
    <xf numFmtId="0" fontId="1" fillId="0" borderId="9" xfId="0" applyFont="1" applyBorder="1"/>
    <xf numFmtId="3" fontId="2" fillId="4" borderId="9" xfId="1" applyNumberFormat="1" applyFill="1" applyBorder="1" applyAlignment="1">
      <alignment horizontal="right" vertical="top" wrapText="1"/>
    </xf>
    <xf numFmtId="0" fontId="2" fillId="4" borderId="2" xfId="1" applyFill="1" applyBorder="1" applyAlignment="1">
      <alignment horizontal="left" vertical="top" wrapText="1"/>
    </xf>
    <xf numFmtId="3" fontId="2" fillId="4" borderId="1" xfId="1" applyNumberFormat="1" applyFill="1" applyBorder="1" applyAlignment="1">
      <alignment horizontal="right" vertical="top" wrapText="1"/>
    </xf>
    <xf numFmtId="0" fontId="2" fillId="4" borderId="1" xfId="1" applyFill="1" applyBorder="1" applyAlignment="1">
      <alignment horizontal="left" vertical="top" wrapText="1"/>
    </xf>
    <xf numFmtId="3" fontId="2" fillId="4" borderId="1" xfId="1" applyNumberFormat="1" applyFill="1" applyBorder="1" applyAlignment="1">
      <alignment horizontal="center" vertical="center"/>
    </xf>
    <xf numFmtId="3" fontId="2" fillId="4" borderId="3" xfId="1" applyNumberFormat="1" applyFill="1" applyBorder="1" applyAlignment="1">
      <alignment horizontal="center" vertical="center"/>
    </xf>
    <xf numFmtId="3" fontId="2" fillId="4" borderId="5" xfId="1" applyNumberFormat="1" applyFont="1" applyFill="1" applyBorder="1" applyAlignment="1">
      <alignment horizontal="left" vertical="top" wrapText="1"/>
    </xf>
    <xf numFmtId="3" fontId="2" fillId="4" borderId="1" xfId="1" applyNumberFormat="1" applyFont="1" applyFill="1" applyBorder="1" applyAlignment="1">
      <alignment horizontal="left" vertical="top" wrapText="1"/>
    </xf>
    <xf numFmtId="0" fontId="2" fillId="4" borderId="6" xfId="1" applyFill="1" applyBorder="1" applyAlignment="1">
      <alignment horizontal="left" vertical="top" wrapText="1"/>
    </xf>
    <xf numFmtId="3" fontId="2" fillId="4" borderId="7" xfId="1" applyNumberFormat="1" applyFill="1" applyBorder="1" applyAlignment="1">
      <alignment horizontal="right" vertical="top" wrapText="1"/>
    </xf>
    <xf numFmtId="0" fontId="2" fillId="4" borderId="7" xfId="1" applyFill="1" applyBorder="1" applyAlignment="1">
      <alignment horizontal="left" vertical="top" wrapText="1"/>
    </xf>
    <xf numFmtId="3" fontId="2" fillId="4" borderId="7" xfId="1" applyNumberFormat="1" applyFill="1" applyBorder="1" applyAlignment="1">
      <alignment horizontal="center" vertical="center"/>
    </xf>
    <xf numFmtId="3" fontId="2" fillId="4" borderId="8" xfId="1" applyNumberFormat="1" applyFill="1" applyBorder="1" applyAlignment="1">
      <alignment horizontal="center" vertical="center"/>
    </xf>
    <xf numFmtId="3" fontId="2" fillId="4" borderId="7" xfId="1" applyNumberFormat="1" applyFont="1" applyFill="1" applyBorder="1" applyAlignment="1">
      <alignment horizontal="left" vertical="top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2">
    <cellStyle name="Обычный" xfId="0" builtinId="0"/>
    <cellStyle name="Обычный_Лист1" xfId="1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0"/>
        </left>
        <right/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solid">
          <fgColor indexed="64"/>
          <bgColor rgb="FFFFFF00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0"/>
        </top>
      </border>
    </dxf>
    <dxf>
      <border outline="0">
        <left style="thin">
          <color indexed="60"/>
        </left>
        <right style="thin">
          <color indexed="60"/>
        </right>
        <top style="thin">
          <color indexed="60"/>
        </top>
        <bottom style="thin">
          <color indexed="6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alignment horizontal="left" vertical="top" textRotation="0" wrapText="1" indent="0" justifyLastLine="0" shrinkToFit="0" readingOrder="0"/>
    </dxf>
    <dxf>
      <border outline="0">
        <bottom style="thin">
          <color indexed="6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solid">
          <fgColor indexed="64"/>
          <bgColor indexed="5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0"/>
        </left>
        <right style="thin">
          <color indexed="6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Таблица3" displayName="Таблица3" ref="B2:M32" totalsRowCount="1" headerRowDxfId="28" dataDxfId="26" headerRowBorderDxfId="27" tableBorderDxfId="25" totalsRowBorderDxfId="24" headerRowCellStyle="Обычный_Лист1" dataCellStyle="Обычный_Лист1">
  <autoFilter ref="B2:M31"/>
  <tableColumns count="12">
    <tableColumn id="1" name="Период год" dataDxfId="23" totalsRowDxfId="22" dataCellStyle="Обычный_Лист1"/>
    <tableColumn id="2" name="Серия торговой марки" dataDxfId="21" totalsRowDxfId="20" dataCellStyle="Обычный_Лист1"/>
    <tableColumn id="3" name="Код" dataDxfId="19" totalsRowDxfId="18" dataCellStyle="Обычный_Лист1"/>
    <tableColumn id="4" name="Номенклатура" dataDxfId="17" totalsRowDxfId="16" dataCellStyle="Обычный_Лист1"/>
    <tableColumn id="5" name="Статус продукции" dataDxfId="15" totalsRowDxfId="14" dataCellStyle="Обычный_Лист1"/>
    <tableColumn id="6" name="Вид продукции" dataDxfId="13" totalsRowDxfId="12" dataCellStyle="Обычный_Лист1"/>
    <tableColumn id="7" name="Тип продукции" dataDxfId="11" totalsRowDxfId="10" dataCellStyle="Обычный_Лист1"/>
    <tableColumn id="8" name="Первичка, кг" totalsRowFunction="custom" dataDxfId="9" totalsRowDxfId="8" dataCellStyle="Обычный_Лист1">
      <totalsRowFormula>SUM(I28:I31)</totalsRowFormula>
    </tableColumn>
    <tableColumn id="9" name="Первичка, руб" totalsRowFunction="custom" dataDxfId="7" totalsRowDxfId="6" dataCellStyle="Обычный_Лист1">
      <totalsRowFormula>SUM(J28:J31)</totalsRowFormula>
    </tableColumn>
    <tableColumn id="10" name="Вторичка, кг" totalsRowFunction="custom" dataDxfId="5" totalsRowDxfId="4" dataCellStyle="Обычный_Лист1">
      <totalsRowFormula>SUM(K28:K31)</totalsRowFormula>
    </tableColumn>
    <tableColumn id="11" name="Вторичка, руб" totalsRowFunction="custom" dataDxfId="3" totalsRowDxfId="2" dataCellStyle="Обычный_Лист1">
      <totalsRowFormula>SUM(L28:L31)</totalsRowFormula>
    </tableColumn>
    <tableColumn id="12" name="АКБ" totalsRowFunction="custom" dataDxfId="1" totalsRowDxfId="0" dataCellStyle="Обычный_Лист1">
      <totalsRowFormula>SUM(M28:M31)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M32"/>
  <sheetViews>
    <sheetView tabSelected="1" topLeftCell="B1" zoomScaleNormal="100" workbookViewId="0">
      <selection activeCell="E35" sqref="E35"/>
    </sheetView>
  </sheetViews>
  <sheetFormatPr defaultRowHeight="15" x14ac:dyDescent="0.25"/>
  <cols>
    <col min="2" max="2" width="13.7109375" customWidth="1"/>
    <col min="3" max="3" width="24.28515625" customWidth="1"/>
    <col min="4" max="4" width="6.5703125" customWidth="1"/>
    <col min="5" max="5" width="52.5703125" customWidth="1"/>
    <col min="6" max="6" width="20.7109375" customWidth="1"/>
    <col min="7" max="7" width="25.28515625" customWidth="1"/>
    <col min="8" max="8" width="20.7109375" customWidth="1"/>
    <col min="9" max="9" width="21.5703125" customWidth="1"/>
    <col min="10" max="10" width="20.42578125" customWidth="1"/>
    <col min="11" max="11" width="19.7109375" customWidth="1"/>
    <col min="12" max="12" width="21.42578125" bestFit="1" customWidth="1"/>
    <col min="13" max="13" width="12.5703125" customWidth="1"/>
    <col min="14" max="14" width="15.28515625" customWidth="1"/>
    <col min="15" max="15" width="6.5703125" bestFit="1" customWidth="1"/>
    <col min="16" max="16" width="8.7109375" bestFit="1" customWidth="1"/>
  </cols>
  <sheetData>
    <row r="1" spans="1:13" x14ac:dyDescent="0.25">
      <c r="A1" s="43" t="s">
        <v>43</v>
      </c>
      <c r="B1" s="43"/>
      <c r="C1" s="43"/>
      <c r="I1" s="3">
        <f>SUM(I3:I31)</f>
        <v>25176.800000000003</v>
      </c>
      <c r="J1" s="3">
        <f>SUM(J3:J31)</f>
        <v>6234539.1600000001</v>
      </c>
      <c r="K1" s="3">
        <f t="shared" ref="K1:L1" si="0">SUM(K3:K31)</f>
        <v>4445.8</v>
      </c>
      <c r="L1" s="3">
        <f t="shared" si="0"/>
        <v>1210209.01</v>
      </c>
    </row>
    <row r="2" spans="1:13" x14ac:dyDescent="0.25">
      <c r="A2" s="36" t="s">
        <v>49</v>
      </c>
      <c r="B2" s="17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44</v>
      </c>
      <c r="J2" s="2" t="s">
        <v>45</v>
      </c>
      <c r="K2" s="2" t="s">
        <v>47</v>
      </c>
      <c r="L2" s="2" t="s">
        <v>46</v>
      </c>
      <c r="M2" s="4" t="s">
        <v>48</v>
      </c>
    </row>
    <row r="3" spans="1:13" x14ac:dyDescent="0.25">
      <c r="A3" s="37">
        <v>1</v>
      </c>
      <c r="B3" s="22">
        <v>2026</v>
      </c>
      <c r="C3" s="23" t="s">
        <v>12</v>
      </c>
      <c r="D3" s="24">
        <v>88845</v>
      </c>
      <c r="E3" s="25" t="s">
        <v>19</v>
      </c>
      <c r="F3" s="25" t="s">
        <v>13</v>
      </c>
      <c r="G3" s="25" t="s">
        <v>20</v>
      </c>
      <c r="H3" s="25" t="s">
        <v>9</v>
      </c>
      <c r="I3" s="26">
        <v>192</v>
      </c>
      <c r="J3" s="27">
        <v>86925</v>
      </c>
      <c r="K3" s="27">
        <v>21</v>
      </c>
      <c r="L3" s="27">
        <v>12132.859999999999</v>
      </c>
      <c r="M3" s="28">
        <v>14</v>
      </c>
    </row>
    <row r="4" spans="1:13" x14ac:dyDescent="0.25">
      <c r="A4" s="37"/>
      <c r="B4" s="22">
        <v>2026</v>
      </c>
      <c r="C4" s="23" t="s">
        <v>12</v>
      </c>
      <c r="D4" s="24">
        <v>88846</v>
      </c>
      <c r="E4" s="25" t="s">
        <v>21</v>
      </c>
      <c r="F4" s="25" t="s">
        <v>13</v>
      </c>
      <c r="G4" s="25" t="s">
        <v>20</v>
      </c>
      <c r="H4" s="25" t="s">
        <v>9</v>
      </c>
      <c r="I4" s="26">
        <v>132</v>
      </c>
      <c r="J4" s="27">
        <v>53680</v>
      </c>
      <c r="K4" s="27">
        <v>6</v>
      </c>
      <c r="L4" s="27">
        <v>3082.94</v>
      </c>
      <c r="M4" s="29">
        <v>1</v>
      </c>
    </row>
    <row r="5" spans="1:13" x14ac:dyDescent="0.25">
      <c r="A5" s="37"/>
      <c r="B5" s="22">
        <v>2026</v>
      </c>
      <c r="C5" s="23" t="s">
        <v>12</v>
      </c>
      <c r="D5" s="24">
        <v>88847</v>
      </c>
      <c r="E5" s="25" t="s">
        <v>22</v>
      </c>
      <c r="F5" s="25" t="s">
        <v>13</v>
      </c>
      <c r="G5" s="25" t="s">
        <v>20</v>
      </c>
      <c r="H5" s="25" t="s">
        <v>9</v>
      </c>
      <c r="I5" s="26">
        <v>194.4</v>
      </c>
      <c r="J5" s="27">
        <v>97216.92</v>
      </c>
      <c r="K5" s="27">
        <v>23.400000000000002</v>
      </c>
      <c r="L5" s="27">
        <v>15156.73</v>
      </c>
      <c r="M5" s="29">
        <v>16</v>
      </c>
    </row>
    <row r="6" spans="1:13" x14ac:dyDescent="0.25">
      <c r="A6" s="37"/>
      <c r="B6" s="22">
        <v>2026</v>
      </c>
      <c r="C6" s="23" t="s">
        <v>12</v>
      </c>
      <c r="D6" s="24">
        <v>88848</v>
      </c>
      <c r="E6" s="25" t="s">
        <v>23</v>
      </c>
      <c r="F6" s="25" t="s">
        <v>13</v>
      </c>
      <c r="G6" s="25" t="s">
        <v>20</v>
      </c>
      <c r="H6" s="25" t="s">
        <v>9</v>
      </c>
      <c r="I6" s="26">
        <v>118.8</v>
      </c>
      <c r="J6" s="27">
        <v>53680</v>
      </c>
      <c r="K6" s="27"/>
      <c r="L6" s="27"/>
      <c r="M6" s="29">
        <v>0</v>
      </c>
    </row>
    <row r="7" spans="1:13" x14ac:dyDescent="0.25">
      <c r="A7" s="37"/>
      <c r="B7" s="22">
        <v>2026</v>
      </c>
      <c r="C7" s="23" t="s">
        <v>12</v>
      </c>
      <c r="D7" s="24">
        <v>88849</v>
      </c>
      <c r="E7" s="25" t="s">
        <v>24</v>
      </c>
      <c r="F7" s="25" t="s">
        <v>13</v>
      </c>
      <c r="G7" s="25" t="s">
        <v>20</v>
      </c>
      <c r="H7" s="25" t="s">
        <v>9</v>
      </c>
      <c r="I7" s="26">
        <v>228</v>
      </c>
      <c r="J7" s="27">
        <v>101945.64</v>
      </c>
      <c r="K7" s="27">
        <v>38</v>
      </c>
      <c r="L7" s="27">
        <v>21964.78</v>
      </c>
      <c r="M7" s="29">
        <v>21</v>
      </c>
    </row>
    <row r="8" spans="1:13" x14ac:dyDescent="0.25">
      <c r="A8" s="37"/>
      <c r="B8" s="22">
        <v>2026</v>
      </c>
      <c r="C8" s="23" t="s">
        <v>12</v>
      </c>
      <c r="D8" s="24">
        <v>88851</v>
      </c>
      <c r="E8" s="25" t="s">
        <v>25</v>
      </c>
      <c r="F8" s="25" t="s">
        <v>13</v>
      </c>
      <c r="G8" s="25" t="s">
        <v>20</v>
      </c>
      <c r="H8" s="25" t="s">
        <v>9</v>
      </c>
      <c r="I8" s="26">
        <v>132</v>
      </c>
      <c r="J8" s="27">
        <v>53680</v>
      </c>
      <c r="K8" s="27">
        <v>15</v>
      </c>
      <c r="L8" s="27">
        <v>7950.74</v>
      </c>
      <c r="M8" s="29">
        <v>2</v>
      </c>
    </row>
    <row r="9" spans="1:13" x14ac:dyDescent="0.25">
      <c r="A9" s="37"/>
      <c r="B9" s="22">
        <v>2026</v>
      </c>
      <c r="C9" s="23" t="s">
        <v>12</v>
      </c>
      <c r="D9" s="24">
        <v>88852</v>
      </c>
      <c r="E9" s="25" t="s">
        <v>26</v>
      </c>
      <c r="F9" s="25" t="s">
        <v>13</v>
      </c>
      <c r="G9" s="25" t="s">
        <v>20</v>
      </c>
      <c r="H9" s="25" t="s">
        <v>9</v>
      </c>
      <c r="I9" s="26">
        <v>124.2</v>
      </c>
      <c r="J9" s="27">
        <v>60221.64</v>
      </c>
      <c r="K9" s="27">
        <v>29.700000000000003</v>
      </c>
      <c r="L9" s="27">
        <v>19080.47</v>
      </c>
      <c r="M9" s="29">
        <v>19</v>
      </c>
    </row>
    <row r="10" spans="1:13" x14ac:dyDescent="0.25">
      <c r="A10" s="37"/>
      <c r="B10" s="22">
        <v>2026</v>
      </c>
      <c r="C10" s="23" t="s">
        <v>12</v>
      </c>
      <c r="D10" s="24">
        <v>88853</v>
      </c>
      <c r="E10" s="25" t="s">
        <v>27</v>
      </c>
      <c r="F10" s="25" t="s">
        <v>13</v>
      </c>
      <c r="G10" s="25" t="s">
        <v>20</v>
      </c>
      <c r="H10" s="25" t="s">
        <v>9</v>
      </c>
      <c r="I10" s="26">
        <v>108</v>
      </c>
      <c r="J10" s="27">
        <v>48800</v>
      </c>
      <c r="K10" s="27">
        <v>8.1</v>
      </c>
      <c r="L10" s="27">
        <v>4867.8</v>
      </c>
      <c r="M10" s="29">
        <v>1</v>
      </c>
    </row>
    <row r="11" spans="1:13" x14ac:dyDescent="0.25">
      <c r="A11" s="37"/>
      <c r="B11" s="22">
        <v>2026</v>
      </c>
      <c r="C11" s="23" t="s">
        <v>12</v>
      </c>
      <c r="D11" s="24">
        <v>88854</v>
      </c>
      <c r="E11" s="25" t="s">
        <v>28</v>
      </c>
      <c r="F11" s="25" t="s">
        <v>13</v>
      </c>
      <c r="G11" s="25" t="s">
        <v>20</v>
      </c>
      <c r="H11" s="25" t="s">
        <v>9</v>
      </c>
      <c r="I11" s="26">
        <v>113.4</v>
      </c>
      <c r="J11" s="27">
        <v>54958.41</v>
      </c>
      <c r="K11" s="27">
        <v>23.400000000000002</v>
      </c>
      <c r="L11" s="27">
        <v>15030.2</v>
      </c>
      <c r="M11" s="29">
        <v>17</v>
      </c>
    </row>
    <row r="12" spans="1:13" x14ac:dyDescent="0.25">
      <c r="A12" s="37"/>
      <c r="B12" s="22">
        <v>2026</v>
      </c>
      <c r="C12" s="23" t="s">
        <v>12</v>
      </c>
      <c r="D12" s="24">
        <v>88855</v>
      </c>
      <c r="E12" s="25" t="s">
        <v>29</v>
      </c>
      <c r="F12" s="25" t="s">
        <v>13</v>
      </c>
      <c r="G12" s="25" t="s">
        <v>20</v>
      </c>
      <c r="H12" s="25" t="s">
        <v>9</v>
      </c>
      <c r="I12" s="26">
        <v>108</v>
      </c>
      <c r="J12" s="27">
        <v>48800</v>
      </c>
      <c r="K12" s="27">
        <v>5.4</v>
      </c>
      <c r="L12" s="27">
        <v>3082.94</v>
      </c>
      <c r="M12" s="29">
        <v>1</v>
      </c>
    </row>
    <row r="13" spans="1:13" x14ac:dyDescent="0.25">
      <c r="A13" s="37"/>
      <c r="B13" s="22">
        <v>2026</v>
      </c>
      <c r="C13" s="23" t="s">
        <v>12</v>
      </c>
      <c r="D13" s="24">
        <v>88856</v>
      </c>
      <c r="E13" s="25" t="s">
        <v>30</v>
      </c>
      <c r="F13" s="25" t="s">
        <v>13</v>
      </c>
      <c r="G13" s="25" t="s">
        <v>20</v>
      </c>
      <c r="H13" s="25" t="s">
        <v>9</v>
      </c>
      <c r="I13" s="26">
        <v>180</v>
      </c>
      <c r="J13" s="27">
        <v>82196.28</v>
      </c>
      <c r="K13" s="27">
        <v>8</v>
      </c>
      <c r="L13" s="27">
        <v>4649.16</v>
      </c>
      <c r="M13" s="29">
        <v>7</v>
      </c>
    </row>
    <row r="14" spans="1:13" x14ac:dyDescent="0.25">
      <c r="A14" s="37"/>
      <c r="B14" s="22">
        <v>2026</v>
      </c>
      <c r="C14" s="23" t="s">
        <v>12</v>
      </c>
      <c r="D14" s="24">
        <v>88857</v>
      </c>
      <c r="E14" s="25" t="s">
        <v>31</v>
      </c>
      <c r="F14" s="25" t="s">
        <v>13</v>
      </c>
      <c r="G14" s="25" t="s">
        <v>20</v>
      </c>
      <c r="H14" s="25" t="s">
        <v>9</v>
      </c>
      <c r="I14" s="26">
        <v>41.6</v>
      </c>
      <c r="J14" s="27">
        <v>17885.830000000002</v>
      </c>
      <c r="K14" s="27">
        <v>15.6</v>
      </c>
      <c r="L14" s="27">
        <v>8664.6</v>
      </c>
      <c r="M14" s="29">
        <v>1</v>
      </c>
    </row>
    <row r="15" spans="1:13" x14ac:dyDescent="0.25">
      <c r="A15" s="37"/>
      <c r="B15" s="22">
        <v>2026</v>
      </c>
      <c r="C15" s="23" t="s">
        <v>12</v>
      </c>
      <c r="D15" s="24">
        <v>88858</v>
      </c>
      <c r="E15" s="25" t="s">
        <v>32</v>
      </c>
      <c r="F15" s="25" t="s">
        <v>13</v>
      </c>
      <c r="G15" s="25" t="s">
        <v>20</v>
      </c>
      <c r="H15" s="25" t="s">
        <v>9</v>
      </c>
      <c r="I15" s="26">
        <v>37.799999999999997</v>
      </c>
      <c r="J15" s="27">
        <v>16797.57</v>
      </c>
      <c r="K15" s="27"/>
      <c r="L15" s="27"/>
      <c r="M15" s="29">
        <v>0</v>
      </c>
    </row>
    <row r="16" spans="1:13" x14ac:dyDescent="0.25">
      <c r="A16" s="37"/>
      <c r="B16" s="22">
        <v>2026</v>
      </c>
      <c r="C16" s="23" t="s">
        <v>12</v>
      </c>
      <c r="D16" s="24">
        <v>88859</v>
      </c>
      <c r="E16" s="25" t="s">
        <v>33</v>
      </c>
      <c r="F16" s="25" t="s">
        <v>13</v>
      </c>
      <c r="G16" s="25" t="s">
        <v>20</v>
      </c>
      <c r="H16" s="25" t="s">
        <v>9</v>
      </c>
      <c r="I16" s="26">
        <v>64.400000000000006</v>
      </c>
      <c r="J16" s="27">
        <v>27328</v>
      </c>
      <c r="K16" s="27"/>
      <c r="L16" s="27"/>
      <c r="M16" s="29">
        <v>0</v>
      </c>
    </row>
    <row r="17" spans="1:13" x14ac:dyDescent="0.25">
      <c r="A17" s="16"/>
      <c r="B17" s="18"/>
      <c r="C17" s="13"/>
      <c r="D17" s="11"/>
      <c r="E17" s="12"/>
      <c r="F17" s="12"/>
      <c r="G17" s="12"/>
      <c r="H17" s="12"/>
      <c r="I17" s="6">
        <f>SUM(I3:I16)</f>
        <v>1774.6</v>
      </c>
      <c r="J17" s="6">
        <f t="shared" ref="J17:M17" si="1">SUM(J3:J16)</f>
        <v>804115.28999999992</v>
      </c>
      <c r="K17" s="6">
        <f t="shared" si="1"/>
        <v>193.60000000000002</v>
      </c>
      <c r="L17" s="6">
        <f t="shared" si="1"/>
        <v>115663.22</v>
      </c>
      <c r="M17" s="6">
        <f t="shared" si="1"/>
        <v>100</v>
      </c>
    </row>
    <row r="18" spans="1:13" x14ac:dyDescent="0.25">
      <c r="A18" s="37">
        <v>2</v>
      </c>
      <c r="B18" s="22">
        <v>2026</v>
      </c>
      <c r="C18" s="23" t="s">
        <v>14</v>
      </c>
      <c r="D18" s="24">
        <v>88965</v>
      </c>
      <c r="E18" s="25" t="s">
        <v>34</v>
      </c>
      <c r="F18" s="25" t="s">
        <v>13</v>
      </c>
      <c r="G18" s="25" t="s">
        <v>35</v>
      </c>
      <c r="H18" s="25" t="s">
        <v>8</v>
      </c>
      <c r="I18" s="26">
        <v>1566</v>
      </c>
      <c r="J18" s="27">
        <v>371366.02</v>
      </c>
      <c r="K18" s="27">
        <v>596</v>
      </c>
      <c r="L18" s="27">
        <v>164256.75</v>
      </c>
      <c r="M18" s="29">
        <v>143</v>
      </c>
    </row>
    <row r="19" spans="1:13" x14ac:dyDescent="0.25">
      <c r="A19" s="37"/>
      <c r="B19" s="22">
        <v>2026</v>
      </c>
      <c r="C19" s="23" t="s">
        <v>14</v>
      </c>
      <c r="D19" s="24">
        <v>88966</v>
      </c>
      <c r="E19" s="25" t="s">
        <v>36</v>
      </c>
      <c r="F19" s="25" t="s">
        <v>13</v>
      </c>
      <c r="G19" s="25" t="s">
        <v>35</v>
      </c>
      <c r="H19" s="25" t="s">
        <v>8</v>
      </c>
      <c r="I19" s="26">
        <v>4344</v>
      </c>
      <c r="J19" s="27">
        <v>897330.48</v>
      </c>
      <c r="K19" s="27">
        <v>1182</v>
      </c>
      <c r="L19" s="27">
        <v>263486.67</v>
      </c>
      <c r="M19" s="29">
        <v>53</v>
      </c>
    </row>
    <row r="20" spans="1:13" x14ac:dyDescent="0.25">
      <c r="A20" s="37"/>
      <c r="B20" s="22">
        <v>2026</v>
      </c>
      <c r="C20" s="23" t="s">
        <v>14</v>
      </c>
      <c r="D20" s="24">
        <v>88967</v>
      </c>
      <c r="E20" s="25" t="s">
        <v>37</v>
      </c>
      <c r="F20" s="25" t="s">
        <v>13</v>
      </c>
      <c r="G20" s="25" t="s">
        <v>35</v>
      </c>
      <c r="H20" s="25" t="s">
        <v>8</v>
      </c>
      <c r="I20" s="26">
        <v>1836</v>
      </c>
      <c r="J20" s="27">
        <v>346858.93</v>
      </c>
      <c r="K20" s="27">
        <v>216</v>
      </c>
      <c r="L20" s="27">
        <v>48655.8</v>
      </c>
      <c r="M20" s="29">
        <v>1</v>
      </c>
    </row>
    <row r="21" spans="1:13" x14ac:dyDescent="0.25">
      <c r="A21" s="21"/>
      <c r="B21" s="19"/>
      <c r="C21" s="14"/>
      <c r="D21" s="8"/>
      <c r="E21" s="7"/>
      <c r="F21" s="7"/>
      <c r="G21" s="7"/>
      <c r="H21" s="7"/>
      <c r="I21" s="6">
        <f>SUM(I18:I20)</f>
        <v>7746</v>
      </c>
      <c r="J21" s="6">
        <f t="shared" ref="J21:M21" si="2">SUM(J18:J20)</f>
        <v>1615555.43</v>
      </c>
      <c r="K21" s="6">
        <f t="shared" si="2"/>
        <v>1994</v>
      </c>
      <c r="L21" s="6">
        <f t="shared" si="2"/>
        <v>476399.22</v>
      </c>
      <c r="M21" s="6">
        <f t="shared" si="2"/>
        <v>197</v>
      </c>
    </row>
    <row r="22" spans="1:13" ht="22.5" x14ac:dyDescent="0.25">
      <c r="A22" s="37">
        <v>3</v>
      </c>
      <c r="B22" s="22">
        <v>2026</v>
      </c>
      <c r="C22" s="23" t="s">
        <v>11</v>
      </c>
      <c r="D22" s="24">
        <v>89507</v>
      </c>
      <c r="E22" s="25" t="s">
        <v>17</v>
      </c>
      <c r="F22" s="25" t="s">
        <v>13</v>
      </c>
      <c r="G22" s="25" t="s">
        <v>7</v>
      </c>
      <c r="H22" s="25" t="s">
        <v>8</v>
      </c>
      <c r="I22" s="26">
        <v>95.2</v>
      </c>
      <c r="J22" s="27">
        <v>17177.21</v>
      </c>
      <c r="K22" s="27"/>
      <c r="L22" s="27"/>
      <c r="M22" s="29">
        <v>0</v>
      </c>
    </row>
    <row r="23" spans="1:13" ht="22.5" x14ac:dyDescent="0.25">
      <c r="A23" s="37"/>
      <c r="B23" s="22">
        <v>2026</v>
      </c>
      <c r="C23" s="23" t="s">
        <v>11</v>
      </c>
      <c r="D23" s="24">
        <v>89508</v>
      </c>
      <c r="E23" s="25" t="s">
        <v>18</v>
      </c>
      <c r="F23" s="25" t="s">
        <v>13</v>
      </c>
      <c r="G23" s="25" t="s">
        <v>7</v>
      </c>
      <c r="H23" s="25" t="s">
        <v>8</v>
      </c>
      <c r="I23" s="26">
        <v>597.70000000000005</v>
      </c>
      <c r="J23" s="27">
        <v>93831.59</v>
      </c>
      <c r="K23" s="27"/>
      <c r="L23" s="27"/>
      <c r="M23" s="29">
        <v>0</v>
      </c>
    </row>
    <row r="24" spans="1:13" x14ac:dyDescent="0.25">
      <c r="A24" s="21"/>
      <c r="B24" s="19"/>
      <c r="C24" s="14"/>
      <c r="D24" s="8"/>
      <c r="E24" s="7"/>
      <c r="F24" s="7"/>
      <c r="G24" s="7"/>
      <c r="H24" s="7"/>
      <c r="I24" s="6">
        <f>SUM(I22:I23)</f>
        <v>692.90000000000009</v>
      </c>
      <c r="J24" s="6">
        <f t="shared" ref="J24:M24" si="3">SUM(J22:J23)</f>
        <v>111008.79999999999</v>
      </c>
      <c r="K24" s="6">
        <f t="shared" si="3"/>
        <v>0</v>
      </c>
      <c r="L24" s="6">
        <f t="shared" si="3"/>
        <v>0</v>
      </c>
      <c r="M24" s="6">
        <f t="shared" si="3"/>
        <v>0</v>
      </c>
    </row>
    <row r="25" spans="1:13" x14ac:dyDescent="0.25">
      <c r="A25" s="38">
        <v>4</v>
      </c>
      <c r="B25" s="22">
        <v>2026</v>
      </c>
      <c r="C25" s="23" t="s">
        <v>11</v>
      </c>
      <c r="D25" s="24">
        <v>63627</v>
      </c>
      <c r="E25" s="25" t="s">
        <v>15</v>
      </c>
      <c r="F25" s="25" t="s">
        <v>13</v>
      </c>
      <c r="G25" s="25" t="s">
        <v>10</v>
      </c>
      <c r="H25" s="25" t="s">
        <v>8</v>
      </c>
      <c r="I25" s="26">
        <v>48</v>
      </c>
      <c r="J25" s="27">
        <v>12663.6</v>
      </c>
      <c r="K25" s="27"/>
      <c r="L25" s="27"/>
      <c r="M25" s="29">
        <v>0</v>
      </c>
    </row>
    <row r="26" spans="1:13" x14ac:dyDescent="0.25">
      <c r="A26" s="39"/>
      <c r="B26" s="22">
        <v>2026</v>
      </c>
      <c r="C26" s="23" t="s">
        <v>11</v>
      </c>
      <c r="D26" s="24">
        <v>89357</v>
      </c>
      <c r="E26" s="25" t="s">
        <v>16</v>
      </c>
      <c r="F26" s="25" t="s">
        <v>13</v>
      </c>
      <c r="G26" s="25" t="s">
        <v>10</v>
      </c>
      <c r="H26" s="25" t="s">
        <v>8</v>
      </c>
      <c r="I26" s="26">
        <v>188.5</v>
      </c>
      <c r="J26" s="27">
        <v>44725.2</v>
      </c>
      <c r="K26" s="27"/>
      <c r="L26" s="27"/>
      <c r="M26" s="29">
        <v>0</v>
      </c>
    </row>
    <row r="27" spans="1:13" x14ac:dyDescent="0.25">
      <c r="A27" s="21"/>
      <c r="B27" s="19"/>
      <c r="C27" s="14"/>
      <c r="D27" s="8"/>
      <c r="E27" s="7"/>
      <c r="F27" s="7"/>
      <c r="G27" s="7"/>
      <c r="H27" s="7"/>
      <c r="I27" s="6">
        <f>SUM(I25:I26)</f>
        <v>236.5</v>
      </c>
      <c r="J27" s="6">
        <f t="shared" ref="J27:M27" si="4">SUM(J25:J26)</f>
        <v>57388.799999999996</v>
      </c>
      <c r="K27" s="6">
        <f t="shared" si="4"/>
        <v>0</v>
      </c>
      <c r="L27" s="6">
        <f t="shared" si="4"/>
        <v>0</v>
      </c>
      <c r="M27" s="6">
        <f t="shared" si="4"/>
        <v>0</v>
      </c>
    </row>
    <row r="28" spans="1:13" x14ac:dyDescent="0.25">
      <c r="A28" s="40">
        <v>5</v>
      </c>
      <c r="B28" s="22">
        <v>2026</v>
      </c>
      <c r="C28" s="23" t="s">
        <v>14</v>
      </c>
      <c r="D28" s="24">
        <v>89855</v>
      </c>
      <c r="E28" s="25" t="s">
        <v>38</v>
      </c>
      <c r="F28" s="25" t="s">
        <v>13</v>
      </c>
      <c r="G28" s="25" t="s">
        <v>39</v>
      </c>
      <c r="H28" s="25" t="s">
        <v>8</v>
      </c>
      <c r="I28" s="26">
        <v>592.79999999999995</v>
      </c>
      <c r="J28" s="27">
        <v>184244.4</v>
      </c>
      <c r="K28" s="27">
        <v>28.599999999999998</v>
      </c>
      <c r="L28" s="27">
        <v>11728.8</v>
      </c>
      <c r="M28" s="29">
        <v>3</v>
      </c>
    </row>
    <row r="29" spans="1:13" x14ac:dyDescent="0.25">
      <c r="A29" s="41"/>
      <c r="B29" s="22">
        <v>2026</v>
      </c>
      <c r="C29" s="23" t="s">
        <v>14</v>
      </c>
      <c r="D29" s="24">
        <v>89856</v>
      </c>
      <c r="E29" s="25" t="s">
        <v>40</v>
      </c>
      <c r="F29" s="25" t="s">
        <v>13</v>
      </c>
      <c r="G29" s="25" t="s">
        <v>39</v>
      </c>
      <c r="H29" s="25" t="s">
        <v>8</v>
      </c>
      <c r="I29" s="26">
        <v>1908</v>
      </c>
      <c r="J29" s="27">
        <v>460947</v>
      </c>
      <c r="K29" s="27">
        <v>36</v>
      </c>
      <c r="L29" s="27">
        <v>12738</v>
      </c>
      <c r="M29" s="29">
        <v>1</v>
      </c>
    </row>
    <row r="30" spans="1:13" x14ac:dyDescent="0.25">
      <c r="A30" s="41"/>
      <c r="B30" s="22">
        <v>2026</v>
      </c>
      <c r="C30" s="23" t="s">
        <v>14</v>
      </c>
      <c r="D30" s="24">
        <v>89857</v>
      </c>
      <c r="E30" s="25" t="s">
        <v>41</v>
      </c>
      <c r="F30" s="25" t="s">
        <v>13</v>
      </c>
      <c r="G30" s="25" t="s">
        <v>39</v>
      </c>
      <c r="H30" s="25" t="s">
        <v>8</v>
      </c>
      <c r="I30" s="26">
        <v>1092</v>
      </c>
      <c r="J30" s="27">
        <v>243778.08</v>
      </c>
      <c r="K30" s="27">
        <v>6</v>
      </c>
      <c r="L30" s="27">
        <v>1617.33</v>
      </c>
      <c r="M30" s="29">
        <v>1</v>
      </c>
    </row>
    <row r="31" spans="1:13" x14ac:dyDescent="0.25">
      <c r="A31" s="42"/>
      <c r="B31" s="22">
        <v>2026</v>
      </c>
      <c r="C31" s="30" t="s">
        <v>14</v>
      </c>
      <c r="D31" s="31">
        <v>89858</v>
      </c>
      <c r="E31" s="32" t="s">
        <v>42</v>
      </c>
      <c r="F31" s="32" t="s">
        <v>13</v>
      </c>
      <c r="G31" s="32" t="s">
        <v>39</v>
      </c>
      <c r="H31" s="32" t="s">
        <v>8</v>
      </c>
      <c r="I31" s="33">
        <v>684</v>
      </c>
      <c r="J31" s="34">
        <v>169433.04</v>
      </c>
      <c r="K31" s="27"/>
      <c r="L31" s="27"/>
      <c r="M31" s="35">
        <v>0</v>
      </c>
    </row>
    <row r="32" spans="1:13" x14ac:dyDescent="0.25">
      <c r="A32" s="16"/>
      <c r="B32" s="20"/>
      <c r="C32" s="15"/>
      <c r="D32" s="10"/>
      <c r="E32" s="9"/>
      <c r="F32" s="9"/>
      <c r="G32" s="9"/>
      <c r="H32" s="9"/>
      <c r="I32" s="5">
        <f>SUM(I28:I31)</f>
        <v>4276.8</v>
      </c>
      <c r="J32" s="5">
        <f t="shared" ref="J32:M32" si="5">SUM(J28:J31)</f>
        <v>1058402.52</v>
      </c>
      <c r="K32" s="5">
        <f t="shared" si="5"/>
        <v>70.599999999999994</v>
      </c>
      <c r="L32" s="5">
        <f t="shared" si="5"/>
        <v>26084.129999999997</v>
      </c>
      <c r="M32" s="5">
        <f t="shared" si="5"/>
        <v>5</v>
      </c>
    </row>
  </sheetData>
  <mergeCells count="6">
    <mergeCell ref="A1:C1"/>
    <mergeCell ref="A3:A16"/>
    <mergeCell ref="A18:A20"/>
    <mergeCell ref="A22:A23"/>
    <mergeCell ref="A25:A26"/>
    <mergeCell ref="A28:A31"/>
  </mergeCell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Первичные и вторичные продажи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Ульянова Екатерина Дмитриевна</dc:creator>
  <cp:lastModifiedBy>Заколодний Роман Александрович</cp:lastModifiedBy>
  <dcterms:created xsi:type="dcterms:W3CDTF">2026-10-06T05:53:05Z</dcterms:created>
  <dcterms:modified xsi:type="dcterms:W3CDTF">2026-10-06T10:36:57Z</dcterms:modified>
</cp:coreProperties>
</file>