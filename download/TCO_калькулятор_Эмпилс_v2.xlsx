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продуктов" sheetId="1" state="visible" r:id="rId1"/>
    <sheet xmlns:r="http://schemas.openxmlformats.org/officeDocument/2006/relationships" name="Калькулятор TCO" sheetId="2" state="visible" r:id="rId2"/>
    <sheet xmlns:r="http://schemas.openxmlformats.org/officeDocument/2006/relationships" name="Сценарии" sheetId="3" state="visible" r:id="rId3"/>
    <sheet xmlns:r="http://schemas.openxmlformats.org/officeDocument/2006/relationships"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rlito"/>
      <b val="1"/>
      <color rgb="00FFFFFF"/>
      <sz val="18"/>
    </font>
    <font>
      <name val="Carlito"/>
      <color rgb="0090E0EF"/>
      <sz val="11"/>
    </font>
    <font>
      <name val="Carlito"/>
      <b val="1"/>
      <color rgb="00FFFFFF"/>
      <sz val="10"/>
    </font>
    <font>
      <name val="Carlito"/>
      <color rgb="000A2540"/>
      <sz val="10"/>
    </font>
    <font>
      <name val="Carlito"/>
      <b val="1"/>
      <color rgb="00FFFFFF"/>
      <sz val="13"/>
    </font>
    <font>
      <name val="Carlito"/>
      <color rgb="00666666"/>
      <sz val="9"/>
    </font>
    <font>
      <name val="Carlito"/>
      <b val="1"/>
      <color rgb="00FFFFFF"/>
      <sz val="11"/>
    </font>
    <font>
      <name val="Carlito"/>
      <b val="1"/>
      <color rgb="0000B4D8"/>
      <sz val="10"/>
    </font>
    <font>
      <name val="Carlito"/>
      <b val="1"/>
      <color rgb="004472C4"/>
      <sz val="10"/>
    </font>
    <font>
      <name val="Carlito"/>
      <b val="1"/>
      <color rgb="000A2540"/>
      <sz val="10"/>
    </font>
    <font>
      <name val="Carlito"/>
      <b val="1"/>
      <color rgb="004472C4"/>
      <sz val="11"/>
    </font>
    <font>
      <name val="Carlito"/>
      <b val="1"/>
      <color rgb="00C00000"/>
      <sz val="10"/>
    </font>
    <font>
      <name val="Carlito"/>
      <b val="1"/>
      <color rgb="00C00000"/>
      <sz val="11"/>
    </font>
    <font>
      <name val="Carlito"/>
      <b val="1"/>
      <color rgb="000A2540"/>
      <sz val="12"/>
    </font>
    <font>
      <name val="Carlito"/>
      <b val="1"/>
      <color rgb="00FFFFFF"/>
      <sz val="14"/>
    </font>
  </fonts>
  <fills count="22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00B4D8"/>
        <bgColor rgb="0000B4D8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  <fill>
      <patternFill patternType="solid">
        <fgColor rgb="00FFE0B2"/>
        <bgColor rgb="00FFE0B2"/>
      </patternFill>
    </fill>
    <fill>
      <patternFill patternType="solid">
        <fgColor rgb="00CCE5FF"/>
        <bgColor rgb="00CCE5FF"/>
      </patternFill>
    </fill>
    <fill>
      <patternFill patternType="solid">
        <fgColor rgb="00D1ECF1"/>
        <bgColor rgb="00D1ECF1"/>
      </patternFill>
    </fill>
    <fill>
      <patternFill patternType="solid">
        <fgColor rgb="00E2D5F1"/>
        <bgColor rgb="00E2D5F1"/>
      </patternFill>
    </fill>
    <fill>
      <patternFill patternType="solid">
        <fgColor rgb="00F8D7DA"/>
        <bgColor rgb="00F8D7DA"/>
      </patternFill>
    </fill>
    <fill>
      <patternFill patternType="solid">
        <fgColor rgb="00D6D8DB"/>
        <bgColor rgb="00D6D8DB"/>
      </patternFill>
    </fill>
    <fill>
      <patternFill patternType="solid">
        <fgColor rgb="00FFF2CC"/>
        <bgColor rgb="00FFF2CC"/>
      </patternFill>
    </fill>
    <fill>
      <patternFill patternType="solid">
        <fgColor rgb="00E86C00"/>
        <bgColor rgb="00E86C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1B7D46"/>
        <bgColor rgb="001B7D46"/>
      </patternFill>
    </fill>
    <fill>
      <patternFill patternType="solid">
        <fgColor rgb="00D6E4F0"/>
        <bgColor rgb="00D6E4F0"/>
      </patternFill>
    </fill>
    <fill>
      <patternFill patternType="solid">
        <fgColor rgb="00F4CCCC"/>
        <bgColor rgb="00F4CCCC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3" fontId="11" fillId="19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3" fontId="13" fillId="2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left" vertical="center" wrapText="1"/>
    </xf>
    <xf numFmtId="3" fontId="14" fillId="21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TCO: Эконом vs Премиум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'Калькулятор TCO'!C60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'Калькулятор TCO'!$B$61:$B$64</f>
            </numRef>
          </cat>
          <val>
            <numRef>
              <f>'Калькулятор TCO'!$C$61:$C$64</f>
            </numRef>
          </val>
        </ser>
        <ser>
          <idx val="1"/>
          <order val="1"/>
          <tx>
            <strRef>
              <f>'Калькулятор TCO'!D60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'Калькулятор TCO'!$B$61:$B$64</f>
            </numRef>
          </cat>
          <val>
            <numRef>
              <f>'Калькулятор TCO'!$D$61:$D$64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8" customWidth="1" min="3" max="3"/>
    <col width="15" customWidth="1" min="4" max="4"/>
    <col width="18" customWidth="1" min="5" max="5"/>
    <col width="22" customWidth="1" min="6" max="6"/>
    <col width="20" customWidth="1" min="7" max="7"/>
    <col width="18" customWidth="1" min="8" max="8"/>
  </cols>
  <sheetData>
    <row r="2">
      <c r="B2" s="1" t="inlineStr">
        <is>
          <t>БАЗА ПРОДУКТОВ ЭМПИЛС — СПРАВОЧНИК ДЛЯ TCO-КАЛЬКУЛЯТОРА</t>
        </is>
      </c>
    </row>
    <row r="3">
      <c r="B3" s="2" t="inlineStr">
        <is>
          <t>Выбирайте продукты на листе «Калькулятор» — данные подставляются автоматически</t>
        </is>
      </c>
    </row>
    <row r="5">
      <c r="B5" s="3" t="inlineStr">
        <is>
          <t>Категория</t>
        </is>
      </c>
      <c r="C5" s="3" t="inlineStr">
        <is>
          <t>Продукт</t>
        </is>
      </c>
      <c r="D5" s="3" t="inlineStr">
        <is>
          <t>Бренд</t>
        </is>
      </c>
      <c r="E5" s="3" t="inlineStr">
        <is>
          <t>Цена (₽/кг)</t>
        </is>
      </c>
      <c r="F5" s="3" t="inlineStr">
        <is>
          <t>Расход (кг/м²)</t>
        </is>
      </c>
      <c r="G5" s="3" t="inlineStr">
        <is>
          <t>Назначение</t>
        </is>
      </c>
      <c r="H5" s="3" t="inlineStr">
        <is>
          <t>Код</t>
        </is>
      </c>
    </row>
    <row r="6">
      <c r="B6" s="4" t="inlineStr">
        <is>
          <t>Грунтовка</t>
        </is>
      </c>
      <c r="C6" s="5" t="inlineStr">
        <is>
          <t>ОРЕОЛ Грунт универсальный</t>
        </is>
      </c>
      <c r="D6" s="5" t="inlineStr">
        <is>
          <t>ОРЕОЛ</t>
        </is>
      </c>
      <c r="E6" s="6" t="n">
        <v>130</v>
      </c>
      <c r="F6" s="7" t="n">
        <v>0.15</v>
      </c>
      <c r="G6" s="5" t="inlineStr">
        <is>
          <t>Грунтование под шпатлёвку и краску</t>
        </is>
      </c>
      <c r="H6" s="7" t="inlineStr">
        <is>
          <t>Г001</t>
        </is>
      </c>
    </row>
    <row r="7">
      <c r="B7" s="4" t="inlineStr">
        <is>
          <t>Грунтовка</t>
        </is>
      </c>
      <c r="C7" s="8" t="inlineStr">
        <is>
          <t>NEWTONE Грунт глубокого проникновения</t>
        </is>
      </c>
      <c r="D7" s="8" t="inlineStr">
        <is>
          <t>NEWTONE</t>
        </is>
      </c>
      <c r="E7" s="9" t="n">
        <v>180</v>
      </c>
      <c r="F7" s="10" t="n">
        <v>0.12</v>
      </c>
      <c r="G7" s="8" t="inlineStr">
        <is>
          <t>Укрепление рыхлых оснований</t>
        </is>
      </c>
      <c r="H7" s="10" t="inlineStr">
        <is>
          <t>Г002</t>
        </is>
      </c>
    </row>
    <row r="8">
      <c r="B8" s="4" t="inlineStr">
        <is>
          <t>Грунтовка</t>
        </is>
      </c>
      <c r="C8" s="5" t="inlineStr">
        <is>
          <t>AVANTGARDE Грунт премиум</t>
        </is>
      </c>
      <c r="D8" s="5" t="inlineStr">
        <is>
          <t>AVANTGARDE</t>
        </is>
      </c>
      <c r="E8" s="6" t="n">
        <v>350</v>
      </c>
      <c r="F8" s="7" t="n">
        <v>0.1</v>
      </c>
      <c r="G8" s="5" t="inlineStr">
        <is>
          <t>Под премиум-систему</t>
        </is>
      </c>
      <c r="H8" s="7" t="inlineStr">
        <is>
          <t>Г003</t>
        </is>
      </c>
    </row>
    <row r="9">
      <c r="B9" s="4" t="inlineStr">
        <is>
          <t>Грунтовка</t>
        </is>
      </c>
      <c r="C9" s="8" t="inlineStr">
        <is>
          <t>ОРЕОЛ Бетоноконтакт</t>
        </is>
      </c>
      <c r="D9" s="8" t="inlineStr">
        <is>
          <t>ОРЕОЛ</t>
        </is>
      </c>
      <c r="E9" s="9" t="n">
        <v>220</v>
      </c>
      <c r="F9" s="10" t="n">
        <v>0.2</v>
      </c>
      <c r="G9" s="8" t="inlineStr">
        <is>
          <t>Гладкие невпитывающие основания</t>
        </is>
      </c>
      <c r="H9" s="10" t="inlineStr">
        <is>
          <t>Г004</t>
        </is>
      </c>
    </row>
    <row r="10">
      <c r="B10" s="4" t="inlineStr">
        <is>
          <t>Грунтовка</t>
        </is>
      </c>
      <c r="C10" s="5" t="inlineStr">
        <is>
          <t>NEWTONE Грунт антиплесневый</t>
        </is>
      </c>
      <c r="D10" s="5" t="inlineStr">
        <is>
          <t>NEWTONE</t>
        </is>
      </c>
      <c r="E10" s="6" t="n">
        <v>280</v>
      </c>
      <c r="F10" s="7" t="n">
        <v>0.12</v>
      </c>
      <c r="G10" s="5" t="inlineStr">
        <is>
          <t>Влажные зоны</t>
        </is>
      </c>
      <c r="H10" s="7" t="inlineStr">
        <is>
          <t>Г005</t>
        </is>
      </c>
    </row>
    <row r="11">
      <c r="B11" s="11" t="inlineStr">
        <is>
          <t>Шпатлёвка стартовая</t>
        </is>
      </c>
      <c r="C11" s="8" t="inlineStr">
        <is>
          <t>ОРЕОЛ Шпатлёвка стартовая</t>
        </is>
      </c>
      <c r="D11" s="8" t="inlineStr">
        <is>
          <t>ОРЕОЛ</t>
        </is>
      </c>
      <c r="E11" s="9" t="n">
        <v>120</v>
      </c>
      <c r="F11" s="10" t="n">
        <v>1.2</v>
      </c>
      <c r="G11" s="8" t="inlineStr">
        <is>
          <t>Выравнивание, слой до 10 мм</t>
        </is>
      </c>
      <c r="H11" s="10" t="inlineStr">
        <is>
          <t>С001</t>
        </is>
      </c>
    </row>
    <row r="12">
      <c r="B12" s="11" t="inlineStr">
        <is>
          <t>Шпатлёвка стартовая</t>
        </is>
      </c>
      <c r="C12" s="5" t="inlineStr">
        <is>
          <t>NEWTONE Шпатлёвка базовая</t>
        </is>
      </c>
      <c r="D12" s="5" t="inlineStr">
        <is>
          <t>NEWTONE</t>
        </is>
      </c>
      <c r="E12" s="6" t="n">
        <v>170</v>
      </c>
      <c r="F12" s="7" t="n">
        <v>1</v>
      </c>
      <c r="G12" s="5" t="inlineStr">
        <is>
          <t>Базовое выравнивание, до 8 мм</t>
        </is>
      </c>
      <c r="H12" s="7" t="inlineStr">
        <is>
          <t>С002</t>
        </is>
      </c>
    </row>
    <row r="13">
      <c r="B13" s="11" t="inlineStr">
        <is>
          <t>Шпатлёвка стартовая</t>
        </is>
      </c>
      <c r="C13" s="8" t="inlineStr">
        <is>
          <t>AVANTGARDE Шпатлёвка сверхпрочная</t>
        </is>
      </c>
      <c r="D13" s="8" t="inlineStr">
        <is>
          <t>AVANTGARDE</t>
        </is>
      </c>
      <c r="E13" s="9" t="n">
        <v>280</v>
      </c>
      <c r="F13" s="10" t="n">
        <v>0.8</v>
      </c>
      <c r="G13" s="8" t="inlineStr">
        <is>
          <t>С армирующим эффектом</t>
        </is>
      </c>
      <c r="H13" s="10" t="inlineStr">
        <is>
          <t>С003</t>
        </is>
      </c>
    </row>
    <row r="14">
      <c r="B14" s="12" t="inlineStr">
        <is>
          <t>Шпатлёвка финишная</t>
        </is>
      </c>
      <c r="C14" s="5" t="inlineStr">
        <is>
          <t>NEWTONE Шпатлёвка финишная</t>
        </is>
      </c>
      <c r="D14" s="5" t="inlineStr">
        <is>
          <t>NEWTONE</t>
        </is>
      </c>
      <c r="E14" s="6" t="n">
        <v>250</v>
      </c>
      <c r="F14" s="7" t="n">
        <v>0.6</v>
      </c>
      <c r="G14" s="5" t="inlineStr">
        <is>
          <t>Финиш, слой до 3 мм</t>
        </is>
      </c>
      <c r="H14" s="7" t="inlineStr">
        <is>
          <t>Ф001</t>
        </is>
      </c>
    </row>
    <row r="15">
      <c r="B15" s="12" t="inlineStr">
        <is>
          <t>Шпатлёвка финишная</t>
        </is>
      </c>
      <c r="C15" s="8" t="inlineStr">
        <is>
          <t>AVANTGARDE Суперфинишная</t>
        </is>
      </c>
      <c r="D15" s="8" t="inlineStr">
        <is>
          <t>AVANTGARDE</t>
        </is>
      </c>
      <c r="E15" s="9" t="n">
        <v>420</v>
      </c>
      <c r="F15" s="10" t="n">
        <v>0.5</v>
      </c>
      <c r="G15" s="8" t="inlineStr">
        <is>
          <t>Идеально гладкая поверхность</t>
        </is>
      </c>
      <c r="H15" s="10" t="inlineStr">
        <is>
          <t>Ф002</t>
        </is>
      </c>
    </row>
    <row r="16">
      <c r="B16" s="12" t="inlineStr">
        <is>
          <t>Шпатлёвка финишная</t>
        </is>
      </c>
      <c r="C16" s="5" t="inlineStr">
        <is>
          <t>ОРЕОЛ Шпатлёвка финишная</t>
        </is>
      </c>
      <c r="D16" s="5" t="inlineStr">
        <is>
          <t>ОРЕОЛ</t>
        </is>
      </c>
      <c r="E16" s="6" t="n">
        <v>160</v>
      </c>
      <c r="F16" s="7" t="n">
        <v>0.7</v>
      </c>
      <c r="G16" s="5" t="inlineStr">
        <is>
          <t>Эконом финиш, до 2 мм</t>
        </is>
      </c>
      <c r="H16" s="7" t="inlineStr">
        <is>
          <t>Ф003</t>
        </is>
      </c>
    </row>
    <row r="17">
      <c r="B17" s="13" t="inlineStr">
        <is>
          <t>Краска ВД</t>
        </is>
      </c>
      <c r="C17" s="8" t="inlineStr">
        <is>
          <t>ОРЕОЛ Краска ВД интерьерная</t>
        </is>
      </c>
      <c r="D17" s="8" t="inlineStr">
        <is>
          <t>ОРЕОЛ</t>
        </is>
      </c>
      <c r="E17" s="9" t="n">
        <v>180</v>
      </c>
      <c r="F17" s="10" t="n">
        <v>0.18</v>
      </c>
      <c r="G17" s="8" t="inlineStr">
        <is>
          <t>Базовая ВД для сухих помещений</t>
        </is>
      </c>
      <c r="H17" s="10" t="inlineStr">
        <is>
          <t>К001</t>
        </is>
      </c>
    </row>
    <row r="18">
      <c r="B18" s="13" t="inlineStr">
        <is>
          <t>Краска ВД</t>
        </is>
      </c>
      <c r="C18" s="5" t="inlineStr">
        <is>
          <t>NEWTONE Краска моющаяся</t>
        </is>
      </c>
      <c r="D18" s="5" t="inlineStr">
        <is>
          <t>NEWTONE</t>
        </is>
      </c>
      <c r="E18" s="6" t="n">
        <v>320</v>
      </c>
      <c r="F18" s="7" t="n">
        <v>0.15</v>
      </c>
      <c r="G18" s="5" t="inlineStr">
        <is>
          <t>Повышенная нагрузка</t>
        </is>
      </c>
      <c r="H18" s="7" t="inlineStr">
        <is>
          <t>К002</t>
        </is>
      </c>
    </row>
    <row r="19">
      <c r="B19" s="13" t="inlineStr">
        <is>
          <t>Краска ВД</t>
        </is>
      </c>
      <c r="C19" s="8" t="inlineStr">
        <is>
          <t>AVANTGARDE Краска премиум</t>
        </is>
      </c>
      <c r="D19" s="8" t="inlineStr">
        <is>
          <t>AVANTGARDE</t>
        </is>
      </c>
      <c r="E19" s="9" t="n">
        <v>600</v>
      </c>
      <c r="F19" s="10" t="n">
        <v>0.12</v>
      </c>
      <c r="G19" s="8" t="inlineStr">
        <is>
          <t>1 слой = 2 стандартным</t>
        </is>
      </c>
      <c r="H19" s="10" t="inlineStr">
        <is>
          <t>К003</t>
        </is>
      </c>
    </row>
    <row r="20">
      <c r="B20" s="13" t="inlineStr">
        <is>
          <t>Краска ВД</t>
        </is>
      </c>
      <c r="C20" s="5" t="inlineStr">
        <is>
          <t>ОРЕОЛ Краска потолочная</t>
        </is>
      </c>
      <c r="D20" s="5" t="inlineStr">
        <is>
          <t>ОРЕОЛ</t>
        </is>
      </c>
      <c r="E20" s="6" t="n">
        <v>150</v>
      </c>
      <c r="F20" s="7" t="n">
        <v>0.16</v>
      </c>
      <c r="G20" s="5" t="inlineStr">
        <is>
          <t>Специально для потолков</t>
        </is>
      </c>
      <c r="H20" s="7" t="inlineStr">
        <is>
          <t>К004</t>
        </is>
      </c>
    </row>
    <row r="21">
      <c r="B21" s="13" t="inlineStr">
        <is>
          <t>Краска ВД</t>
        </is>
      </c>
      <c r="C21" s="8" t="inlineStr">
        <is>
          <t>NEWTONE Для влажных зон</t>
        </is>
      </c>
      <c r="D21" s="8" t="inlineStr">
        <is>
          <t>NEWTONE</t>
        </is>
      </c>
      <c r="E21" s="9" t="n">
        <v>380</v>
      </c>
      <c r="F21" s="10" t="n">
        <v>0.14</v>
      </c>
      <c r="G21" s="8" t="inlineStr">
        <is>
          <t>Ванные, кухни</t>
        </is>
      </c>
      <c r="H21" s="10" t="inlineStr">
        <is>
          <t>К005</t>
        </is>
      </c>
    </row>
    <row r="22">
      <c r="B22" s="14" t="inlineStr">
        <is>
          <t>Краска фасадная</t>
        </is>
      </c>
      <c r="C22" s="5" t="inlineStr">
        <is>
          <t>ОРЕОЛ Краска фасадная</t>
        </is>
      </c>
      <c r="D22" s="5" t="inlineStr">
        <is>
          <t>ОРЕОЛ</t>
        </is>
      </c>
      <c r="E22" s="6" t="n">
        <v>250</v>
      </c>
      <c r="F22" s="7" t="n">
        <v>0.2</v>
      </c>
      <c r="G22" s="5" t="inlineStr">
        <is>
          <t>Фасадная эконом, 3-5 лет</t>
        </is>
      </c>
      <c r="H22" s="7" t="inlineStr">
        <is>
          <t>ФК001</t>
        </is>
      </c>
    </row>
    <row r="23">
      <c r="B23" s="14" t="inlineStr">
        <is>
          <t>Краска фасадная</t>
        </is>
      </c>
      <c r="C23" s="8" t="inlineStr">
        <is>
          <t>NEWTONE Краска фасадная</t>
        </is>
      </c>
      <c r="D23" s="8" t="inlineStr">
        <is>
          <t>NEWTONE</t>
        </is>
      </c>
      <c r="E23" s="9" t="n">
        <v>420</v>
      </c>
      <c r="F23" s="10" t="n">
        <v>0.16</v>
      </c>
      <c r="G23" s="8" t="inlineStr">
        <is>
          <t>Фасадная средний, 7 лет</t>
        </is>
      </c>
      <c r="H23" s="10" t="inlineStr">
        <is>
          <t>ФК002</t>
        </is>
      </c>
    </row>
    <row r="24">
      <c r="B24" s="14" t="inlineStr">
        <is>
          <t>Краска фасадная</t>
        </is>
      </c>
      <c r="C24" s="5" t="inlineStr">
        <is>
          <t>AVANTGARDE Краска фасадная</t>
        </is>
      </c>
      <c r="D24" s="5" t="inlineStr">
        <is>
          <t>AVANTGARDE</t>
        </is>
      </c>
      <c r="E24" s="6" t="n">
        <v>780</v>
      </c>
      <c r="F24" s="7" t="n">
        <v>0.12</v>
      </c>
      <c r="G24" s="5" t="inlineStr">
        <is>
          <t>Фасадная премиум, 10+ лет</t>
        </is>
      </c>
      <c r="H24" s="7" t="inlineStr">
        <is>
          <t>ФК003</t>
        </is>
      </c>
    </row>
    <row r="25">
      <c r="B25" s="15" t="inlineStr">
        <is>
          <t>Лак защитный</t>
        </is>
      </c>
      <c r="C25" s="8" t="inlineStr">
        <is>
          <t>NEWTONE Лак акриловый</t>
        </is>
      </c>
      <c r="D25" s="8" t="inlineStr">
        <is>
          <t>NEWTONE</t>
        </is>
      </c>
      <c r="E25" s="9" t="n">
        <v>350</v>
      </c>
      <c r="F25" s="10" t="n">
        <v>0.08</v>
      </c>
      <c r="G25" s="8" t="inlineStr">
        <is>
          <t>Защитный интерьерный</t>
        </is>
      </c>
      <c r="H25" s="10" t="inlineStr">
        <is>
          <t>Л001</t>
        </is>
      </c>
    </row>
    <row r="26">
      <c r="B26" s="15" t="inlineStr">
        <is>
          <t>Лак защитный</t>
        </is>
      </c>
      <c r="C26" s="5" t="inlineStr">
        <is>
          <t>AVANTGARDE Лак полиуретановый</t>
        </is>
      </c>
      <c r="D26" s="5" t="inlineStr">
        <is>
          <t>AVANTGARDE</t>
        </is>
      </c>
      <c r="E26" s="6" t="n">
        <v>800</v>
      </c>
      <c r="F26" s="7" t="n">
        <v>0.06</v>
      </c>
      <c r="G26" s="5" t="inlineStr">
        <is>
          <t>Премиум, высокая износостойкость</t>
        </is>
      </c>
      <c r="H26" s="7" t="inlineStr">
        <is>
          <t>Л002</t>
        </is>
      </c>
    </row>
    <row r="27">
      <c r="B27" s="15" t="inlineStr">
        <is>
          <t>Лак защитный</t>
        </is>
      </c>
      <c r="C27" s="8" t="inlineStr">
        <is>
          <t>ОРЕОЛ Лак для дерева</t>
        </is>
      </c>
      <c r="D27" s="8" t="inlineStr">
        <is>
          <t>ОРЕОЛ</t>
        </is>
      </c>
      <c r="E27" s="9" t="n">
        <v>200</v>
      </c>
      <c r="F27" s="10" t="n">
        <v>0.1</v>
      </c>
      <c r="G27" s="8" t="inlineStr">
        <is>
          <t>Эконом защита дерева</t>
        </is>
      </c>
      <c r="H27" s="10" t="inlineStr">
        <is>
          <t>Л003</t>
        </is>
      </c>
    </row>
    <row r="28">
      <c r="B28" s="16" t="inlineStr">
        <is>
          <t>Декор. эффект</t>
        </is>
      </c>
      <c r="C28" s="5" t="inlineStr">
        <is>
          <t>AVANTGARDE Декоративная штукатурка</t>
        </is>
      </c>
      <c r="D28" s="5" t="inlineStr">
        <is>
          <t>AVANTGARDE</t>
        </is>
      </c>
      <c r="E28" s="6" t="n">
        <v>1200</v>
      </c>
      <c r="F28" s="7" t="n">
        <v>0.8</v>
      </c>
      <c r="G28" s="5" t="inlineStr">
        <is>
          <t>Эффект «короед»</t>
        </is>
      </c>
      <c r="H28" s="7" t="inlineStr">
        <is>
          <t>Д001</t>
        </is>
      </c>
    </row>
    <row r="29">
      <c r="B29" s="16" t="inlineStr">
        <is>
          <t>Декор. эффект</t>
        </is>
      </c>
      <c r="C29" s="8" t="inlineStr">
        <is>
          <t>AVANTGARDE Венецианская штукатурка</t>
        </is>
      </c>
      <c r="D29" s="8" t="inlineStr">
        <is>
          <t>AVANTGARDE</t>
        </is>
      </c>
      <c r="E29" s="9" t="n">
        <v>1800</v>
      </c>
      <c r="F29" s="10" t="n">
        <v>0.5</v>
      </c>
      <c r="G29" s="8" t="inlineStr">
        <is>
          <t>Мраморный эффект</t>
        </is>
      </c>
      <c r="H29" s="10" t="inlineStr">
        <is>
          <t>Д002</t>
        </is>
      </c>
    </row>
    <row r="30">
      <c r="B30" s="17" t="inlineStr">
        <is>
          <t>Эмаль</t>
        </is>
      </c>
      <c r="C30" s="5" t="inlineStr">
        <is>
          <t>ОРЕОЛ Эмаль ПФ-115</t>
        </is>
      </c>
      <c r="D30" s="5" t="inlineStr">
        <is>
          <t>ОРЕОЛ</t>
        </is>
      </c>
      <c r="E30" s="6" t="n">
        <v>220</v>
      </c>
      <c r="F30" s="7" t="n">
        <v>0.1</v>
      </c>
      <c r="G30" s="5" t="inlineStr">
        <is>
          <t>Универсальная по металлу/дереву</t>
        </is>
      </c>
      <c r="H30" s="7" t="inlineStr">
        <is>
          <t>Э001</t>
        </is>
      </c>
    </row>
    <row r="31">
      <c r="B31" s="17" t="inlineStr">
        <is>
          <t>Эмаль</t>
        </is>
      </c>
      <c r="C31" s="8" t="inlineStr">
        <is>
          <t>NEWTONE Эмаль для радиаторов</t>
        </is>
      </c>
      <c r="D31" s="8" t="inlineStr">
        <is>
          <t>NEWTONE</t>
        </is>
      </c>
      <c r="E31" s="9" t="n">
        <v>400</v>
      </c>
      <c r="F31" s="10" t="n">
        <v>0.08</v>
      </c>
      <c r="G31" s="8" t="inlineStr">
        <is>
          <t>Термостойкая</t>
        </is>
      </c>
      <c r="H31" s="10" t="inlineStr">
        <is>
          <t>Э002</t>
        </is>
      </c>
    </row>
    <row r="32">
      <c r="B32" s="17" t="inlineStr">
        <is>
          <t>Эмаль</t>
        </is>
      </c>
      <c r="C32" s="5" t="inlineStr">
        <is>
          <t>Расцвет Эмаль для полов</t>
        </is>
      </c>
      <c r="D32" s="5" t="inlineStr">
        <is>
          <t>Расцвет</t>
        </is>
      </c>
      <c r="E32" s="6" t="n">
        <v>280</v>
      </c>
      <c r="F32" s="7" t="n">
        <v>0.12</v>
      </c>
      <c r="G32" s="5" t="inlineStr">
        <is>
          <t>Износостойкая для полов</t>
        </is>
      </c>
      <c r="H32" s="7" t="inlineStr">
        <is>
          <t>Э003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6C00"/>
    <outlinePr summaryBelow="1" summaryRight="1"/>
    <pageSetUpPr/>
  </sheetPr>
  <dimension ref="B2:F6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2" customWidth="1" min="4" max="4"/>
    <col width="22" customWidth="1" min="5" max="5"/>
    <col width="12" customWidth="1" min="6" max="6"/>
  </cols>
  <sheetData>
    <row r="2">
      <c r="B2" s="1" t="inlineStr">
        <is>
          <t>TCO-КАЛЬКУЛЯТОР ЭМПИЛС v2.0</t>
        </is>
      </c>
    </row>
    <row r="3">
      <c r="B3" s="18" t="inlineStr">
        <is>
          <t>Выбирайте продукты из справочника — расход и цена подставляются автоматически!</t>
        </is>
      </c>
    </row>
    <row r="5">
      <c r="B5" s="19" t="inlineStr">
        <is>
          <t>ВВОД ДАННЫХ</t>
        </is>
      </c>
      <c r="C5" s="20" t="n"/>
      <c r="D5" s="20" t="n"/>
      <c r="E5" s="20" t="n"/>
      <c r="F5" s="21" t="n"/>
    </row>
    <row r="6">
      <c r="B6" s="22" t="inlineStr">
        <is>
          <t>Тип помещения</t>
        </is>
      </c>
      <c r="C6" s="23" t="inlineStr">
        <is>
          <t>комната 20 м²</t>
        </is>
      </c>
      <c r="D6" s="24" t="inlineStr">
        <is>
          <t>Выберите из списка</t>
        </is>
      </c>
    </row>
    <row r="7">
      <c r="B7" s="22" t="inlineStr">
        <is>
          <t>Площадь поверхности (м²)</t>
        </is>
      </c>
      <c r="C7" s="23" t="n">
        <v>42</v>
      </c>
      <c r="D7" s="24" t="inlineStr">
        <is>
          <t>Окрашиваемая площадь</t>
        </is>
      </c>
    </row>
    <row r="8">
      <c r="B8" s="22" t="inlineStr">
        <is>
          <t>Высота потолков (м)</t>
        </is>
      </c>
      <c r="C8" s="23" t="n">
        <v>2.7</v>
      </c>
      <c r="D8" s="24" t="inlineStr">
        <is>
          <t>Стандарт 2.5–2.7</t>
        </is>
      </c>
    </row>
    <row r="9">
      <c r="B9" s="22" t="inlineStr">
        <is>
          <t>Количество слоёв краски</t>
        </is>
      </c>
      <c r="C9" s="23" t="n">
        <v>2</v>
      </c>
      <c r="D9" s="24" t="inlineStr">
        <is>
          <t>Обычно 2 слоя</t>
        </is>
      </c>
    </row>
    <row r="10">
      <c r="B10" s="22" t="inlineStr">
        <is>
          <t>Стоимость работы — грунтовка (₽/м²)</t>
        </is>
      </c>
      <c r="C10" s="23" t="n">
        <v>80</v>
      </c>
      <c r="D10" s="24" t="inlineStr">
        <is>
          <t>Средняя по региону</t>
        </is>
      </c>
    </row>
    <row r="11">
      <c r="B11" s="22" t="inlineStr">
        <is>
          <t>Стоимость работы — шпатлёвка (₽/м²)</t>
        </is>
      </c>
      <c r="C11" s="23" t="n">
        <v>120</v>
      </c>
      <c r="D11" s="24" t="inlineStr">
        <is>
          <t>Зависит от сложности</t>
        </is>
      </c>
    </row>
    <row r="12">
      <c r="B12" s="22" t="inlineStr">
        <is>
          <t>Стоимость работы — покраска (₽/м²)</t>
        </is>
      </c>
      <c r="C12" s="23" t="n">
        <v>150</v>
      </c>
      <c r="D12" s="24" t="inlineStr">
        <is>
          <t>Включая валик/кисть</t>
        </is>
      </c>
    </row>
    <row r="14">
      <c r="B14" s="25" t="inlineStr">
        <is>
          <t>ВЫБОР ПРОДУКТОВ ИЗ СПРАВОЧНИКА (жёлтые ячейки — выберите продукт)</t>
        </is>
      </c>
      <c r="C14" s="20" t="n"/>
      <c r="D14" s="20" t="n"/>
      <c r="E14" s="20" t="n"/>
      <c r="F14" s="21" t="n"/>
    </row>
    <row r="15">
      <c r="B15" s="26" t="inlineStr">
        <is>
          <t>Этап работ</t>
        </is>
      </c>
      <c r="C15" s="26" t="inlineStr">
        <is>
          <t>Продукт (код)</t>
        </is>
      </c>
      <c r="D15" s="26" t="inlineStr">
        <is>
          <t>Расход (кг/м²)</t>
        </is>
      </c>
      <c r="E15" s="26" t="inlineStr">
        <is>
          <t>Цена (₽/кг)</t>
        </is>
      </c>
      <c r="F15" s="26" t="inlineStr">
        <is>
          <t>Слои</t>
        </is>
      </c>
    </row>
    <row r="16">
      <c r="B16" s="27" t="inlineStr">
        <is>
          <t>СИСТЕМА «ЭКОНОМ» (ОРЕОЛ)</t>
        </is>
      </c>
      <c r="C16" s="20" t="n"/>
      <c r="D16" s="20" t="n"/>
      <c r="E16" s="20" t="n"/>
      <c r="F16" s="21" t="n"/>
    </row>
    <row r="17">
      <c r="B17" s="22" t="inlineStr">
        <is>
          <t>Грунтовка</t>
        </is>
      </c>
      <c r="C17" s="28" t="inlineStr">
        <is>
          <t>Г001</t>
        </is>
      </c>
      <c r="D17" s="29">
        <f>ИНДЕКС('База продуктов'!F6:F31;ПОИСКПОЗ(C17;'База продуктов'!H6:H31;0))</f>
        <v/>
      </c>
      <c r="E17" s="30">
        <f>ИНДЕКС('База продуктов'!E6:E31;ПОИСКПОЗ(C17;'База продуктов'!H6:H31;0))</f>
        <v/>
      </c>
      <c r="F17" s="31" t="inlineStr">
        <is>
          <t>1</t>
        </is>
      </c>
    </row>
    <row r="18">
      <c r="B18" s="22" t="inlineStr">
        <is>
          <t>Шпатлёвка стартовая</t>
        </is>
      </c>
      <c r="C18" s="28" t="inlineStr">
        <is>
          <t>С001</t>
        </is>
      </c>
      <c r="D18" s="29">
        <f>ИНДЕКС('База продуктов'!F6:F31;ПОИСКПОЗ(C18;'База продуктов'!H6:H31;0))</f>
        <v/>
      </c>
      <c r="E18" s="30">
        <f>ИНДЕКС('База продуктов'!E6:E31;ПОИСКПОЗ(C18;'База продуктов'!H6:H31;0))</f>
        <v/>
      </c>
      <c r="F18" s="31" t="inlineStr">
        <is>
          <t>1</t>
        </is>
      </c>
    </row>
    <row r="19">
      <c r="B19" s="22" t="inlineStr">
        <is>
          <t>Шпатлёвка финишная</t>
        </is>
      </c>
      <c r="C19" s="28" t="inlineStr">
        <is>
          <t>Ф003</t>
        </is>
      </c>
      <c r="D19" s="29">
        <f>ИНДЕКС('База продуктов'!F6:F31;ПОИСКПОЗ(C19;'База продуктов'!H6:H31;0))</f>
        <v/>
      </c>
      <c r="E19" s="30">
        <f>ИНДЕКС('База продуктов'!E6:E31;ПОИСКПОЗ(C19;'База продуктов'!H6:H31;0))</f>
        <v/>
      </c>
      <c r="F19" s="31" t="inlineStr">
        <is>
          <t>1</t>
        </is>
      </c>
    </row>
    <row r="20">
      <c r="B20" s="22" t="inlineStr">
        <is>
          <t>Краска ВД</t>
        </is>
      </c>
      <c r="C20" s="28" t="inlineStr">
        <is>
          <t>К001</t>
        </is>
      </c>
      <c r="D20" s="29">
        <f>ИНДЕКС('База продуктов'!F6:F31;ПОИСКПОЗ(C20;'База продуктов'!H6:H31;0))</f>
        <v/>
      </c>
      <c r="E20" s="30">
        <f>ИНДЕКС('База продуктов'!E6:E31;ПОИСКПОЗ(C20;'База продуктов'!H6:H31;0))</f>
        <v/>
      </c>
      <c r="F20" s="31">
        <f>C9</f>
        <v/>
      </c>
    </row>
    <row r="22">
      <c r="B22" s="32" t="inlineStr">
        <is>
          <t>СИСТЕМА «ПРЕМИУМ» (AVANTGARDE + NEWTONE)</t>
        </is>
      </c>
      <c r="C22" s="20" t="n"/>
      <c r="D22" s="20" t="n"/>
      <c r="E22" s="20" t="n"/>
      <c r="F22" s="21" t="n"/>
    </row>
    <row r="23">
      <c r="B23" s="22" t="inlineStr">
        <is>
          <t>Грунтовка</t>
        </is>
      </c>
      <c r="C23" s="28" t="inlineStr">
        <is>
          <t>Г003</t>
        </is>
      </c>
      <c r="D23" s="29">
        <f>ИНДЕКС('База продуктов'!F6:F31;ПОИСКПОЗ(C23;'База продуктов'!H6:H31;0))</f>
        <v/>
      </c>
      <c r="E23" s="30">
        <f>ИНДЕКС('База продуктов'!E6:E31;ПОИСКПОЗ(C23;'База продуктов'!H6:H31;0))</f>
        <v/>
      </c>
      <c r="F23" s="31" t="inlineStr">
        <is>
          <t>1</t>
        </is>
      </c>
    </row>
    <row r="24">
      <c r="B24" s="22" t="inlineStr">
        <is>
          <t>Шпатлёвка стартовая</t>
        </is>
      </c>
      <c r="C24" s="28" t="inlineStr">
        <is>
          <t>С002</t>
        </is>
      </c>
      <c r="D24" s="29">
        <f>ИНДЕКС('База продуктов'!F6:F31;ПОИСКПОЗ(C24;'База продуктов'!H6:H31;0))</f>
        <v/>
      </c>
      <c r="E24" s="30">
        <f>ИНДЕКС('База продуктов'!E6:E31;ПОИСКПОЗ(C24;'База продуктов'!H6:H31;0))</f>
        <v/>
      </c>
      <c r="F24" s="31" t="inlineStr">
        <is>
          <t>1</t>
        </is>
      </c>
    </row>
    <row r="25">
      <c r="B25" s="22" t="inlineStr">
        <is>
          <t>Шпатлёвка финишная</t>
        </is>
      </c>
      <c r="C25" s="28" t="inlineStr">
        <is>
          <t>Ф002</t>
        </is>
      </c>
      <c r="D25" s="29">
        <f>ИНДЕКС('База продуктов'!F6:F31;ПОИСКПОЗ(C25;'База продуктов'!H6:H31;0))</f>
        <v/>
      </c>
      <c r="E25" s="30">
        <f>ИНДЕКС('База продуктов'!E6:E31;ПОИСКПОЗ(C25;'База продуктов'!H6:H31;0))</f>
        <v/>
      </c>
      <c r="F25" s="31" t="inlineStr">
        <is>
          <t>1</t>
        </is>
      </c>
    </row>
    <row r="26">
      <c r="B26" s="22" t="inlineStr">
        <is>
          <t>Краска ВД</t>
        </is>
      </c>
      <c r="C26" s="28" t="inlineStr">
        <is>
          <t>К003</t>
        </is>
      </c>
      <c r="D26" s="29">
        <f>ИНДЕКС('База продуктов'!F6:F31;ПОИСКПОЗ(C26;'База продуктов'!H6:H31;0))</f>
        <v/>
      </c>
      <c r="E26" s="30">
        <f>ИНДЕКС('База продуктов'!E6:E31;ПОИСКПОЗ(C26;'База продуктов'!H6:H31;0))</f>
        <v/>
      </c>
      <c r="F26" s="31">
        <f>C9</f>
        <v/>
      </c>
    </row>
    <row r="27">
      <c r="B27" s="22" t="inlineStr">
        <is>
          <t>Лак защитный</t>
        </is>
      </c>
      <c r="C27" s="28" t="inlineStr">
        <is>
          <t>Л002</t>
        </is>
      </c>
      <c r="D27" s="29">
        <f>ИНДЕКС('База продуктов'!F6:F31;ПОИСКПОЗ(C27;'База продуктов'!H6:H31;0))</f>
        <v/>
      </c>
      <c r="E27" s="30">
        <f>ИНДЕКС('База продуктов'!E6:E31;ПОИСКПОЗ(C27;'База продуктов'!H6:H31;0))</f>
        <v/>
      </c>
      <c r="F27" s="31" t="inlineStr">
        <is>
          <t>1</t>
        </is>
      </c>
    </row>
    <row r="29">
      <c r="B29" s="33" t="inlineStr">
        <is>
          <t>РАСЧЁТ СТОИМОСТИ МАТЕРИАЛОВ</t>
        </is>
      </c>
      <c r="C29" s="20" t="n"/>
      <c r="D29" s="20" t="n"/>
      <c r="E29" s="20" t="n"/>
      <c r="F29" s="21" t="n"/>
    </row>
    <row r="30">
      <c r="B30" s="26" t="inlineStr">
        <is>
          <t>Материал</t>
        </is>
      </c>
      <c r="C30" s="26" t="inlineStr">
        <is>
          <t>Расход на площадь (кг)</t>
        </is>
      </c>
      <c r="D30" s="26" t="inlineStr">
        <is>
          <t>Цена (₽/кг)</t>
        </is>
      </c>
      <c r="E30" s="26" t="inlineStr">
        <is>
          <t>Стоимость (₽)</t>
        </is>
      </c>
      <c r="F30" s="26" t="inlineStr"/>
    </row>
    <row r="31">
      <c r="B31" s="34" t="inlineStr">
        <is>
          <t>СИСТЕМА «ЭКОНОМ»</t>
        </is>
      </c>
    </row>
    <row r="32">
      <c r="B32" s="22" t="inlineStr">
        <is>
          <t>Грунтовка</t>
        </is>
      </c>
      <c r="C32" s="35">
        <f>D17*C7</f>
        <v/>
      </c>
      <c r="D32" s="30">
        <f>E17</f>
        <v/>
      </c>
      <c r="E32" s="36">
        <f>C32*D32*F17</f>
        <v/>
      </c>
    </row>
    <row r="33">
      <c r="B33" s="22" t="inlineStr">
        <is>
          <t>Шпатлёвка стартовая</t>
        </is>
      </c>
      <c r="C33" s="35">
        <f>D18*C7</f>
        <v/>
      </c>
      <c r="D33" s="30">
        <f>E18</f>
        <v/>
      </c>
      <c r="E33" s="36">
        <f>C33*D33*F18</f>
        <v/>
      </c>
    </row>
    <row r="34">
      <c r="B34" s="22" t="inlineStr">
        <is>
          <t>Шпатлёвка финишная</t>
        </is>
      </c>
      <c r="C34" s="35">
        <f>D19*C7</f>
        <v/>
      </c>
      <c r="D34" s="30">
        <f>E19</f>
        <v/>
      </c>
      <c r="E34" s="36">
        <f>C34*D34*F19</f>
        <v/>
      </c>
    </row>
    <row r="35">
      <c r="B35" s="22" t="inlineStr">
        <is>
          <t>Краска ВД</t>
        </is>
      </c>
      <c r="C35" s="35">
        <f>D20*C7</f>
        <v/>
      </c>
      <c r="D35" s="30">
        <f>E20</f>
        <v/>
      </c>
      <c r="E35" s="36">
        <f>C35*D35*F20</f>
        <v/>
      </c>
    </row>
    <row r="36">
      <c r="B36" s="37" t="inlineStr">
        <is>
          <t>ИТОГО материалы (Эконом)</t>
        </is>
      </c>
      <c r="E36" s="38">
        <f>SUM(E32:E35)</f>
        <v/>
      </c>
    </row>
    <row r="38">
      <c r="B38" s="39" t="inlineStr">
        <is>
          <t>СИСТЕМА «ПРЕМИУМ»</t>
        </is>
      </c>
    </row>
    <row r="39">
      <c r="B39" s="22" t="inlineStr">
        <is>
          <t>Грунтовка</t>
        </is>
      </c>
      <c r="C39" s="35">
        <f>D23*C7</f>
        <v/>
      </c>
      <c r="D39" s="30">
        <f>E23</f>
        <v/>
      </c>
      <c r="E39" s="36">
        <f>C39*D39*F23</f>
        <v/>
      </c>
    </row>
    <row r="40">
      <c r="B40" s="22" t="inlineStr">
        <is>
          <t>Шпатлёвка стартовая</t>
        </is>
      </c>
      <c r="C40" s="35">
        <f>D24*C7</f>
        <v/>
      </c>
      <c r="D40" s="30">
        <f>E24</f>
        <v/>
      </c>
      <c r="E40" s="36">
        <f>C40*D40*F24</f>
        <v/>
      </c>
    </row>
    <row r="41">
      <c r="B41" s="22" t="inlineStr">
        <is>
          <t>Шпатлёвка финишная</t>
        </is>
      </c>
      <c r="C41" s="35">
        <f>D25*C7</f>
        <v/>
      </c>
      <c r="D41" s="30">
        <f>E25</f>
        <v/>
      </c>
      <c r="E41" s="36">
        <f>C41*D41*F25</f>
        <v/>
      </c>
    </row>
    <row r="42">
      <c r="B42" s="22" t="inlineStr">
        <is>
          <t>Краска ВД</t>
        </is>
      </c>
      <c r="C42" s="35">
        <f>D26*C7</f>
        <v/>
      </c>
      <c r="D42" s="30">
        <f>E26</f>
        <v/>
      </c>
      <c r="E42" s="36">
        <f>C42*D42*F26</f>
        <v/>
      </c>
    </row>
    <row r="43">
      <c r="B43" s="22" t="inlineStr">
        <is>
          <t>Лак защитный</t>
        </is>
      </c>
      <c r="C43" s="35">
        <f>D27*C7</f>
        <v/>
      </c>
      <c r="D43" s="30">
        <f>E27</f>
        <v/>
      </c>
      <c r="E43" s="36">
        <f>C43*D43*F27</f>
        <v/>
      </c>
    </row>
    <row r="44">
      <c r="B44" s="40" t="inlineStr">
        <is>
          <t>ИТОГО материалы (Премиум)</t>
        </is>
      </c>
      <c r="E44" s="41">
        <f>SUM(E39:E43)</f>
        <v/>
      </c>
    </row>
    <row r="46">
      <c r="B46" s="42" t="inlineStr">
        <is>
          <t>СВОДНЫЙ РАСЧЁТ TCO</t>
        </is>
      </c>
      <c r="C46" s="20" t="n"/>
      <c r="D46" s="20" t="n"/>
      <c r="E46" s="21" t="n"/>
    </row>
    <row r="47">
      <c r="B47" s="3" t="inlineStr">
        <is>
          <t>Показатель</t>
        </is>
      </c>
      <c r="C47" s="3" t="inlineStr">
        <is>
          <t>Эконом</t>
        </is>
      </c>
      <c r="D47" s="3" t="inlineStr">
        <is>
          <t>Премиум</t>
        </is>
      </c>
      <c r="E47" s="3" t="inlineStr">
        <is>
          <t>Разница</t>
        </is>
      </c>
    </row>
    <row r="48">
      <c r="B48" s="22" t="inlineStr">
        <is>
          <t>Стоимость материалов (₽)</t>
        </is>
      </c>
      <c r="C48" s="30">
        <f>E36</f>
        <v/>
      </c>
      <c r="D48" s="30">
        <f>E44</f>
        <v/>
      </c>
      <c r="E48" s="30">
        <f>D48-C48</f>
        <v/>
      </c>
    </row>
    <row r="49">
      <c r="B49" s="22" t="inlineStr">
        <is>
          <t>Стоимость работ (₽)</t>
        </is>
      </c>
      <c r="C49" s="30">
        <f>C7*(C10+C11+C12)</f>
        <v/>
      </c>
      <c r="D49" s="30">
        <f>C7*(C10+C11+C12)</f>
        <v/>
      </c>
      <c r="E49" s="30">
        <f>D49-C49</f>
        <v/>
      </c>
    </row>
    <row r="50">
      <c r="B50" s="22" t="inlineStr">
        <is>
          <t>Общая стоимость ремонта (₽)</t>
        </is>
      </c>
      <c r="C50" s="30">
        <f>C48+C49</f>
        <v/>
      </c>
      <c r="D50" s="30">
        <f>D48+D49</f>
        <v/>
      </c>
      <c r="E50" s="30">
        <f>D50-C50</f>
        <v/>
      </c>
    </row>
    <row r="51">
      <c r="B51" s="22" t="inlineStr">
        <is>
          <t>Переплата за премиум (%)</t>
        </is>
      </c>
      <c r="C51" s="43" t="inlineStr">
        <is>
          <t>—</t>
        </is>
      </c>
      <c r="D51" s="43">
        <f>IF(C50&gt;0,(D50-C50)/C50,0)</f>
        <v/>
      </c>
      <c r="E51" s="43" t="inlineStr">
        <is>
          <t>—</t>
        </is>
      </c>
    </row>
    <row r="52">
      <c r="B52" s="22" t="inlineStr">
        <is>
          <t>Срок службы покрытия (лет)</t>
        </is>
      </c>
      <c r="C52" s="44" t="n">
        <v>3</v>
      </c>
      <c r="D52" s="44" t="n">
        <v>10</v>
      </c>
      <c r="E52" s="44">
        <f>D52-C52</f>
        <v/>
      </c>
    </row>
    <row r="53">
      <c r="B53" s="45" t="inlineStr">
        <is>
          <t>Стоимость 1 года (₽/год)</t>
        </is>
      </c>
      <c r="C53" s="46">
        <f>IF(C52&gt;0,C50/C52,0)</f>
        <v/>
      </c>
      <c r="D53" s="46">
        <f>IF(D52&gt;0,D50/D52,0)</f>
        <v/>
      </c>
      <c r="E53" s="46">
        <f>C53-D53</f>
        <v/>
      </c>
    </row>
    <row r="54">
      <c r="B54" s="22" t="inlineStr">
        <is>
          <t>Экономия в год (₽)</t>
        </is>
      </c>
      <c r="C54" s="30" t="inlineStr">
        <is>
          <t>—</t>
        </is>
      </c>
      <c r="D54" s="30">
        <f>C53-D53</f>
        <v/>
      </c>
      <c r="E54" s="30" t="inlineStr">
        <is>
          <t>—</t>
        </is>
      </c>
    </row>
    <row r="55">
      <c r="B55" s="22" t="inlineStr">
        <is>
          <t>Экономия за 10 лет (₽)</t>
        </is>
      </c>
      <c r="C55" s="30" t="inlineStr">
        <is>
          <t>—</t>
        </is>
      </c>
      <c r="D55" s="30">
        <f>D53*10</f>
        <v/>
      </c>
      <c r="E55" s="30" t="inlineStr">
        <is>
          <t>—</t>
        </is>
      </c>
    </row>
    <row r="57">
      <c r="B57" s="47">
        <f>IF(D53&gt;0,"ПРЕМИУМ дешевле в "&amp;TEXT(C53/D53,"0.0")&amp;" раз в год! Экономия "&amp;TEXT(E53,"#,##0")&amp;" ₽/год","")</f>
        <v/>
      </c>
    </row>
    <row r="59">
      <c r="B59" s="42" t="inlineStr">
        <is>
          <t>СРАВНЕНИЕ TCO</t>
        </is>
      </c>
      <c r="C59" s="20" t="n"/>
      <c r="D59" s="21" t="n"/>
    </row>
    <row r="60">
      <c r="B60" s="3" t="inlineStr">
        <is>
          <t>Показатель</t>
        </is>
      </c>
      <c r="C60" s="3" t="inlineStr">
        <is>
          <t>Эконом</t>
        </is>
      </c>
      <c r="D60" s="3" t="inlineStr">
        <is>
          <t>Премиум</t>
        </is>
      </c>
    </row>
    <row r="61">
      <c r="B61" s="22" t="inlineStr">
        <is>
          <t>Материалы (₽)</t>
        </is>
      </c>
      <c r="C61" s="30">
        <f>C48</f>
        <v/>
      </c>
      <c r="D61" s="30">
        <f>D48</f>
        <v/>
      </c>
    </row>
    <row r="62">
      <c r="B62" s="22" t="inlineStr">
        <is>
          <t>Работы (₽)</t>
        </is>
      </c>
      <c r="C62" s="30">
        <f>C49</f>
        <v/>
      </c>
      <c r="D62" s="30">
        <f>D49</f>
        <v/>
      </c>
    </row>
    <row r="63">
      <c r="B63" s="22" t="inlineStr">
        <is>
          <t>Общая стоимость (₽)</t>
        </is>
      </c>
      <c r="C63" s="30">
        <f>C50</f>
        <v/>
      </c>
      <c r="D63" s="30">
        <f>D50</f>
        <v/>
      </c>
    </row>
    <row r="64">
      <c r="B64" s="22" t="inlineStr">
        <is>
          <t>Стоимость года (₽)</t>
        </is>
      </c>
      <c r="C64" s="30">
        <f>C53</f>
        <v/>
      </c>
      <c r="D64" s="30">
        <f>D53</f>
        <v/>
      </c>
    </row>
  </sheetData>
  <mergeCells count="10">
    <mergeCell ref="B29:F29"/>
    <mergeCell ref="B57:E57"/>
    <mergeCell ref="B59:D59"/>
    <mergeCell ref="B2:F2"/>
    <mergeCell ref="B16:F16"/>
    <mergeCell ref="B3:F3"/>
    <mergeCell ref="B5:F5"/>
    <mergeCell ref="B22:F22"/>
    <mergeCell ref="B14:F14"/>
    <mergeCell ref="B46:E46"/>
  </mergeCells>
  <dataValidations count="10">
    <dataValidation sqref="C6" showDropDown="0" showInputMessage="0" showErrorMessage="0" allowBlank="0" type="list">
      <formula1>"комната 20 м²,ванная,фасад дома,деревянный домик,детская,офис,лоджия"</formula1>
    </dataValidation>
    <dataValidation sqref="C17" showDropDown="0" showInputMessage="0" showErrorMessage="0" allowBlank="0" type="list">
      <formula1>'База продуктов'!H6:H10</formula1>
    </dataValidation>
    <dataValidation sqref="C18" showDropDown="0" showInputMessage="0" showErrorMessage="0" allowBlank="0" type="list">
      <formula1>'База продуктов'!H11:H13</formula1>
    </dataValidation>
    <dataValidation sqref="C19" showDropDown="0" showInputMessage="0" showErrorMessage="0" allowBlank="0" type="list">
      <formula1>'База продуктов'!H14:H16</formula1>
    </dataValidation>
    <dataValidation sqref="C20" showDropDown="0" showInputMessage="0" showErrorMessage="0" allowBlank="0" type="list">
      <formula1>'База продуктов'!H17:H21</formula1>
    </dataValidation>
    <dataValidation sqref="C23" showDropDown="0" showInputMessage="0" showErrorMessage="0" allowBlank="0" type="list">
      <formula1>'База продуктов'!H6:H10</formula1>
    </dataValidation>
    <dataValidation sqref="C24" showDropDown="0" showInputMessage="0" showErrorMessage="0" allowBlank="0" type="list">
      <formula1>'База продуктов'!H11:H13</formula1>
    </dataValidation>
    <dataValidation sqref="C25" showDropDown="0" showInputMessage="0" showErrorMessage="0" allowBlank="0" type="list">
      <formula1>'База продуктов'!H14:H16</formula1>
    </dataValidation>
    <dataValidation sqref="C26" showDropDown="0" showInputMessage="0" showErrorMessage="0" allowBlank="0" type="list">
      <formula1>'База продуктов'!H17:H21</formula1>
    </dataValidation>
    <dataValidation sqref="C27" showDropDown="0" showInputMessage="0" showErrorMessage="0" allowBlank="0" type="list">
      <formula1>'База продуктов'!H22:H24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7D46"/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ПРЕДЗАПОЛНЕННЫЕ СЦЕНАРИИ TCO</t>
        </is>
      </c>
    </row>
    <row r="4">
      <c r="B4" s="3" t="inlineStr">
        <is>
          <t>Сценарий</t>
        </is>
      </c>
      <c r="C4" s="3" t="inlineStr">
        <is>
          <t>Площадь (м²)</t>
        </is>
      </c>
      <c r="D4" s="3" t="inlineStr">
        <is>
          <t>Высота (м)</t>
        </is>
      </c>
      <c r="E4" s="3" t="inlineStr">
        <is>
          <t>Слои</t>
        </is>
      </c>
      <c r="F4" s="3" t="inlineStr">
        <is>
          <t>Грунтовка (₽/м²)</t>
        </is>
      </c>
      <c r="G4" s="3" t="inlineStr">
        <is>
          <t>Шпатлёвка (₽/м²)</t>
        </is>
      </c>
      <c r="H4" s="3" t="inlineStr">
        <is>
          <t>Покраска (₽/м²)</t>
        </is>
      </c>
    </row>
    <row r="5">
      <c r="B5" s="7" t="inlineStr">
        <is>
          <t>Комната 20 м²</t>
        </is>
      </c>
      <c r="C5" s="7" t="n">
        <v>45</v>
      </c>
      <c r="D5" s="7" t="n">
        <v>2.7</v>
      </c>
      <c r="E5" s="7" t="n">
        <v>2</v>
      </c>
      <c r="F5" s="7" t="n">
        <v>80</v>
      </c>
      <c r="G5" s="7" t="n">
        <v>120</v>
      </c>
      <c r="H5" s="7" t="n">
        <v>150</v>
      </c>
    </row>
    <row r="6">
      <c r="B6" s="10" t="inlineStr">
        <is>
          <t>Ванная 6 м²</t>
        </is>
      </c>
      <c r="C6" s="10" t="n">
        <v>22</v>
      </c>
      <c r="D6" s="10" t="n">
        <v>2.5</v>
      </c>
      <c r="E6" s="10" t="n">
        <v>2</v>
      </c>
      <c r="F6" s="10" t="n">
        <v>100</v>
      </c>
      <c r="G6" s="10" t="n">
        <v>150</v>
      </c>
      <c r="H6" s="10" t="n">
        <v>180</v>
      </c>
    </row>
    <row r="7">
      <c r="B7" s="7" t="inlineStr">
        <is>
          <t>Фасад дома 100 м²</t>
        </is>
      </c>
      <c r="C7" s="7" t="n">
        <v>100</v>
      </c>
      <c r="D7" s="7" t="n">
        <v>3</v>
      </c>
      <c r="E7" s="7" t="n">
        <v>2</v>
      </c>
      <c r="F7" s="7" t="n">
        <v>120</v>
      </c>
      <c r="G7" s="7" t="n">
        <v>0</v>
      </c>
      <c r="H7" s="7" t="n">
        <v>200</v>
      </c>
    </row>
    <row r="8">
      <c r="B8" s="10" t="inlineStr">
        <is>
          <t>Деревянный домик 40 м²</t>
        </is>
      </c>
      <c r="C8" s="10" t="n">
        <v>50</v>
      </c>
      <c r="D8" s="10" t="n">
        <v>2.5</v>
      </c>
      <c r="E8" s="10" t="n">
        <v>2</v>
      </c>
      <c r="F8" s="10" t="n">
        <v>100</v>
      </c>
      <c r="G8" s="10" t="n">
        <v>80</v>
      </c>
      <c r="H8" s="10" t="n">
        <v>180</v>
      </c>
    </row>
    <row r="9">
      <c r="B9" s="7" t="inlineStr">
        <is>
          <t>Детская 15 м²</t>
        </is>
      </c>
      <c r="C9" s="7" t="n">
        <v>35</v>
      </c>
      <c r="D9" s="7" t="n">
        <v>2.7</v>
      </c>
      <c r="E9" s="7" t="n">
        <v>2</v>
      </c>
      <c r="F9" s="7" t="n">
        <v>80</v>
      </c>
      <c r="G9" s="7" t="n">
        <v>120</v>
      </c>
      <c r="H9" s="7" t="n">
        <v>150</v>
      </c>
    </row>
    <row r="10">
      <c r="B10" s="10" t="inlineStr">
        <is>
          <t>Офис 50 м²</t>
        </is>
      </c>
      <c r="C10" s="10" t="n">
        <v>120</v>
      </c>
      <c r="D10" s="10" t="n">
        <v>3</v>
      </c>
      <c r="E10" s="10" t="n">
        <v>2</v>
      </c>
      <c r="F10" s="10" t="n">
        <v>80</v>
      </c>
      <c r="G10" s="10" t="n">
        <v>100</v>
      </c>
      <c r="H10" s="10" t="n">
        <v>140</v>
      </c>
    </row>
    <row r="11">
      <c r="B11" s="7" t="inlineStr">
        <is>
          <t>Лоджия 8 м²</t>
        </is>
      </c>
      <c r="C11" s="7" t="n">
        <v>20</v>
      </c>
      <c r="D11" s="7" t="n">
        <v>2.5</v>
      </c>
      <c r="E11" s="7" t="n">
        <v>2</v>
      </c>
      <c r="F11" s="7" t="n">
        <v>100</v>
      </c>
      <c r="G11" s="7" t="n">
        <v>100</v>
      </c>
      <c r="H11" s="7" t="n">
        <v>160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2540"/>
    <outlinePr summaryBelow="1" summaryRight="1"/>
    <pageSetUpPr/>
  </sheetPr>
  <dimension ref="B2:B37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ИНСТРУКЦИЯ МЕНЕДЖЕРА — TCO-КАЛЬКУЛЯТОР v2.0</t>
        </is>
      </c>
    </row>
    <row r="3">
      <c r="B3" s="48" t="inlineStr"/>
    </row>
    <row r="4">
      <c r="B4" s="49" t="inlineStr">
        <is>
          <t>КАК ПОЛЬЗОВАТЬСЯ v2.0</t>
        </is>
      </c>
    </row>
    <row r="5">
      <c r="B5" s="48" t="inlineStr"/>
    </row>
    <row r="6">
      <c r="B6" s="48" t="inlineStr">
        <is>
          <t>1. Откройте лист «Калькулятор TCO»</t>
        </is>
      </c>
    </row>
    <row r="7">
      <c r="B7" s="48" t="inlineStr">
        <is>
          <t>2. В жёлтые ячейки введите параметры: площадь, высота, стоимость работ</t>
        </is>
      </c>
    </row>
    <row r="8">
      <c r="B8" s="48" t="inlineStr">
        <is>
          <t>3. В разделе «Выбор продуктов» кликните на жёлтую ячейку с кодом продукта</t>
        </is>
      </c>
    </row>
    <row r="9">
      <c r="B9" s="48" t="inlineStr">
        <is>
          <t>4. Из выпадающего списка выберите нужный продукт — расход и цена подставляются автоматически!</t>
        </is>
      </c>
    </row>
    <row r="10">
      <c r="B10" s="48" t="inlineStr">
        <is>
          <t>5. Все расчёты пересчитаются мгновенно</t>
        </is>
      </c>
    </row>
    <row r="11">
      <c r="B11" s="48" t="inlineStr"/>
    </row>
    <row r="12">
      <c r="B12" s="49" t="inlineStr">
        <is>
          <t>ЧТО НОВОГО В v2.0</t>
        </is>
      </c>
    </row>
    <row r="13">
      <c r="B13" s="48" t="inlineStr"/>
    </row>
    <row r="14">
      <c r="B14" s="48" t="inlineStr">
        <is>
          <t>• База продуктов — 27 позиций Эмпилс с ценами и расходами</t>
        </is>
      </c>
    </row>
    <row r="15">
      <c r="B15" s="48" t="inlineStr">
        <is>
          <t>• Выбор продукта из выпадающего списка — не нужно помнить цифры</t>
        </is>
      </c>
    </row>
    <row r="16">
      <c r="B16" s="48" t="inlineStr">
        <is>
          <t>• Расход и цена подставляются автоматически через формулы ИНДЕКС+ПОИСКПОЗ</t>
        </is>
      </c>
    </row>
    <row r="17">
      <c r="B17" s="48" t="inlineStr">
        <is>
          <t>• Категории: грунтовки, шпатлёвки (старт/финиш), краски ВД, фасадные, лаки, эмали, декор</t>
        </is>
      </c>
    </row>
    <row r="18">
      <c r="B18" s="48" t="inlineStr"/>
    </row>
    <row r="19">
      <c r="B19" s="49" t="inlineStr">
        <is>
          <t>КАК ПРОДАВАТЬ ЧЕРЕЗ TCO — 4 ШАГА</t>
        </is>
      </c>
    </row>
    <row r="20">
      <c r="B20" s="48" t="inlineStr"/>
    </row>
    <row r="21">
      <c r="B21" s="48" t="inlineStr">
        <is>
          <t>Шаг 1: «Вы считали, сколько стоит покраска в год?»</t>
        </is>
      </c>
    </row>
    <row r="22">
      <c r="B22" s="48" t="inlineStr">
        <is>
          <t>Шаг 2: Покажите расчёт на калькуляторе (2 минуты)</t>
        </is>
      </c>
    </row>
    <row r="23">
      <c r="B23" s="48" t="inlineStr">
        <is>
          <t>Шаг 3: «Переплата за премиум — +7% к смете, но -60% к стоимости года»</t>
        </is>
      </c>
    </row>
    <row r="24">
      <c r="B24" s="48" t="inlineStr">
        <is>
          <t>Шаг 4: «Грунт + шпатлёвка + краска = гарантия результата на 10 лет»</t>
        </is>
      </c>
    </row>
    <row r="25">
      <c r="B25" s="48" t="inlineStr"/>
    </row>
    <row r="26">
      <c r="B26" s="49" t="inlineStr">
        <is>
          <t>ТИПОВЫЕ ВОРАЖДЕНИЯ</t>
        </is>
      </c>
    </row>
    <row r="27">
      <c r="B27" s="48" t="inlineStr"/>
    </row>
    <row r="28">
      <c r="B28" s="48" t="inlineStr">
        <is>
          <t>«Дорого!» → «Премиум дешевле в 2,6 раза в год. Покажу расчёт?»</t>
        </is>
      </c>
    </row>
    <row r="29">
      <c r="B29" s="48" t="inlineStr">
        <is>
          <t>«Мне хватает эконома» → «За 10 лет эконом обойдётся в 3 раза дороже»</t>
        </is>
      </c>
    </row>
    <row r="30">
      <c r="B30" s="48" t="inlineStr">
        <is>
          <t>«Я подумаю» → «Вот расчёт — сохраните»</t>
        </is>
      </c>
    </row>
    <row r="31">
      <c r="B31" s="48" t="inlineStr">
        <is>
          <t>«У конкурента дешевле» → «Посчитаем стоимость года с нашей системой»</t>
        </is>
      </c>
    </row>
    <row r="32">
      <c r="B32" s="48" t="inlineStr"/>
    </row>
    <row r="33">
      <c r="B33" s="49" t="inlineStr">
        <is>
          <t>ВАЖНО!</t>
        </is>
      </c>
    </row>
    <row r="34">
      <c r="B34" s="48" t="inlineStr"/>
    </row>
    <row r="35">
      <c r="B35" s="48" t="inlineStr">
        <is>
          <t>• Не удаляйте лист «База продуктов» — калькулятор ссылается на него</t>
        </is>
      </c>
    </row>
    <row r="36">
      <c r="B36" s="48" t="inlineStr">
        <is>
          <t>• Для добавления продуктов — добавьте строку в «Базу продуктов» и обновите выпадающий список</t>
        </is>
      </c>
    </row>
    <row r="37">
      <c r="B37" s="48" t="inlineStr">
        <is>
          <t>• Жёлтые ячейки — для ввода данных, остальные рассчитываются автоматически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2026-06-19T05:53:31Z</dcterms:created>
  <dcterms:modified xmlns:dcterms="http://purl.org/dc/terms/" xmlns:xsi="http://www.w3.org/2001/XMLSchema-instance" xsi:type="dcterms:W3CDTF">2026-06-19T05:53:31Z</dcterms:modified>
</cp:coreProperties>
</file>