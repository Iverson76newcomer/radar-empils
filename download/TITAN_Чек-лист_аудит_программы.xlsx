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истрибьюторский канал" sheetId="2" state="visible" r:id="rId2"/>
    <sheet xmlns:r="http://schemas.openxmlformats.org/officeDocument/2006/relationships" name="Сетевой канал" sheetId="3" state="visible" r:id="rId3"/>
    <sheet xmlns:r="http://schemas.openxmlformats.org/officeDocument/2006/relationships" name="B2B кана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13131"/>
      <sz val="10"/>
    </font>
    <font>
      <name val="Calibri"/>
      <b val="1"/>
      <color rgb="00FFFFFF"/>
      <sz val="11"/>
    </font>
    <font>
      <name val="Calibri"/>
      <b val="1"/>
      <color rgb="00313131"/>
      <sz val="10"/>
    </font>
    <font>
      <name val="Calibri"/>
      <color rgb="00313131"/>
      <sz val="10"/>
    </font>
    <font>
      <name val="Calibri"/>
      <b val="1"/>
      <color rgb="00FFFFFF"/>
      <sz val="18"/>
    </font>
    <font>
      <name val="Calibri"/>
      <i val="1"/>
      <color rgb="00313131"/>
      <sz val="11"/>
    </font>
    <font>
      <name val="Calibri"/>
      <b val="1"/>
      <color rgb="00313131"/>
      <sz val="11"/>
    </font>
    <font>
      <name val="Calibri"/>
      <b val="1"/>
      <color rgb="00F47629"/>
      <sz val="11"/>
    </font>
    <font>
      <name val="Calibri"/>
      <b val="1"/>
      <color rgb="002E7D32"/>
      <sz val="11"/>
    </font>
    <font>
      <name val="Calibri"/>
      <b val="1"/>
      <color rgb="00F57C00"/>
      <sz val="11"/>
    </font>
    <font>
      <name val="Calibri"/>
      <b val="1"/>
      <color rgb="00C62828"/>
      <sz val="11"/>
    </font>
    <font>
      <name val="Calibri"/>
      <b val="1"/>
      <color rgb="00FFFFFF"/>
      <sz val="12"/>
    </font>
    <font>
      <name val="Calibri"/>
      <color rgb="006B6B6B"/>
      <sz val="10"/>
    </font>
  </fonts>
  <fills count="16">
    <fill>
      <patternFill/>
    </fill>
    <fill>
      <patternFill patternType="gray125"/>
    </fill>
    <fill>
      <patternFill patternType="solid">
        <fgColor rgb="00F47629"/>
      </patternFill>
    </fill>
    <fill>
      <patternFill patternType="solid">
        <fgColor rgb="00FDE6D5"/>
      </patternFill>
    </fill>
    <fill>
      <patternFill patternType="solid">
        <fgColor rgb="00313131"/>
      </patternFill>
    </fill>
    <fill>
      <patternFill patternType="solid">
        <fgColor rgb="00FAFAFA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9" fontId="9" fillId="1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9" fontId="13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14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F9C4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44" customHeight="1">
      <c r="A1" s="1" t="inlineStr">
        <is>
          <t>TITAN — СВОДКА ВЫПОЛНЕНИЯ ПРОГРАММЫ</t>
        </is>
      </c>
    </row>
    <row r="2" ht="24" customHeight="1">
      <c r="A2" s="2" t="inlineStr">
        <is>
          <t>Аудит по презентации «Дорожная карта TITAN» от 20.08.2026 · 3 канала · 80+ задач</t>
        </is>
      </c>
    </row>
    <row r="4" ht="32" customHeight="1">
      <c r="A4" s="3" t="inlineStr">
        <is>
          <t>Канал</t>
        </is>
      </c>
      <c r="B4" s="3" t="inlineStr">
        <is>
          <t>Всего задач</t>
        </is>
      </c>
      <c r="C4" s="3" t="inlineStr">
        <is>
          <t>Выполнено</t>
        </is>
      </c>
      <c r="D4" s="3" t="inlineStr">
        <is>
          <t>В работе</t>
        </is>
      </c>
      <c r="E4" s="3" t="inlineStr">
        <is>
          <t>Не начато</t>
        </is>
      </c>
      <c r="F4" s="3" t="inlineStr">
        <is>
          <t>% выполнения</t>
        </is>
      </c>
    </row>
    <row r="5" ht="30" customHeight="1">
      <c r="A5" s="4" t="inlineStr">
        <is>
          <t>Дистрибьюторский канал</t>
        </is>
      </c>
      <c r="B5" s="5" t="n">
        <v>59</v>
      </c>
      <c r="C5" s="6">
        <f>COUNTIF('Дистрибьюторский канал'!G5:G63,"Выполнено")</f>
        <v/>
      </c>
      <c r="D5" s="7">
        <f>COUNTIF('Дистрибьюторский канал'!G5:G63,"В работе")+COUNTIF('Дистрибьюторский канал'!G5:G63,"Частично")</f>
        <v/>
      </c>
      <c r="E5" s="8">
        <f>COUNTIF('Дистрибьюторский канал'!G5:G63,"Не начато")</f>
        <v/>
      </c>
      <c r="F5" s="9">
        <f>C5/B5</f>
        <v/>
      </c>
    </row>
    <row r="6" ht="30" customHeight="1">
      <c r="A6" s="10" t="inlineStr">
        <is>
          <t>Сетевой канал</t>
        </is>
      </c>
      <c r="B6" s="11" t="n">
        <v>22</v>
      </c>
      <c r="C6" s="12">
        <f>COUNTIF('Сетевой канал'!G5:G26,"Выполнено")</f>
        <v/>
      </c>
      <c r="D6" s="13">
        <f>COUNTIF('Сетевой канал'!G5:G26,"В работе")+COUNTIF('Сетевой канал'!G5:G26,"Частично")</f>
        <v/>
      </c>
      <c r="E6" s="14">
        <f>COUNTIF('Сетевой канал'!G5:G26,"Не начато")</f>
        <v/>
      </c>
      <c r="F6" s="15">
        <f>C6/B6</f>
        <v/>
      </c>
    </row>
    <row r="7" ht="30" customHeight="1">
      <c r="A7" s="4" t="inlineStr">
        <is>
          <t>B2B канал</t>
        </is>
      </c>
      <c r="B7" s="5" t="n">
        <v>17</v>
      </c>
      <c r="C7" s="6">
        <f>COUNTIF('B2B канал'!G5:G21,"Выполнено")</f>
        <v/>
      </c>
      <c r="D7" s="7">
        <f>COUNTIF('B2B канал'!G5:G21,"В работе")+COUNTIF('B2B канал'!G5:G21,"Частично")</f>
        <v/>
      </c>
      <c r="E7" s="8">
        <f>COUNTIF('B2B канал'!G5:G21,"Не начато")</f>
        <v/>
      </c>
      <c r="F7" s="9">
        <f>C7/B7</f>
        <v/>
      </c>
    </row>
    <row r="8" ht="36" customHeight="1">
      <c r="A8" s="16" t="inlineStr">
        <is>
          <t>ИТОГО</t>
        </is>
      </c>
      <c r="B8" s="16">
        <f>SUM(B5:B7)</f>
        <v/>
      </c>
      <c r="C8" s="16">
        <f>SUM(C5:C7)</f>
        <v/>
      </c>
      <c r="D8" s="16">
        <f>SUM(D5:D7)</f>
        <v/>
      </c>
      <c r="E8" s="16">
        <f>SUM(E5:E7)</f>
        <v/>
      </c>
      <c r="F8" s="17">
        <f>C8/B8</f>
        <v/>
      </c>
    </row>
    <row r="11">
      <c r="A11" s="18" t="inlineStr">
        <is>
          <t>ЛЕГЕНДА СТАТУСОВ:</t>
        </is>
      </c>
    </row>
    <row r="12">
      <c r="A12" s="19" t="inlineStr">
        <is>
          <t>Выполнено</t>
        </is>
      </c>
      <c r="B12" s="20" t="inlineStr">
        <is>
          <t>Задача полностью выполнена</t>
        </is>
      </c>
    </row>
    <row r="13">
      <c r="A13" s="21" t="inlineStr">
        <is>
          <t>В работе</t>
        </is>
      </c>
      <c r="B13" s="20" t="inlineStr">
        <is>
          <t>Задача в процессе выполнения</t>
        </is>
      </c>
    </row>
    <row r="14">
      <c r="A14" s="22" t="inlineStr">
        <is>
          <t>Не начато</t>
        </is>
      </c>
      <c r="B14" s="20" t="inlineStr">
        <is>
          <t>Задача ещё не начиналась</t>
        </is>
      </c>
    </row>
    <row r="15">
      <c r="A15" s="21" t="inlineStr">
        <is>
          <t>Частично</t>
        </is>
      </c>
      <c r="B15" s="20" t="inlineStr">
        <is>
          <t>Задача выполнена частично</t>
        </is>
      </c>
    </row>
    <row r="16">
      <c r="A16" s="23" t="inlineStr">
        <is>
          <t>Не требуется</t>
        </is>
      </c>
      <c r="B16" s="20" t="inlineStr">
        <is>
          <t>Задача неактуальна</t>
        </is>
      </c>
    </row>
  </sheetData>
  <mergeCells count="7">
    <mergeCell ref="A2:F2"/>
    <mergeCell ref="B12:E12"/>
    <mergeCell ref="B13:E13"/>
    <mergeCell ref="A1:F1"/>
    <mergeCell ref="B16:E16"/>
    <mergeCell ref="B15:E1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2" customWidth="1" min="4" max="4"/>
    <col width="16" customWidth="1" min="5" max="5"/>
    <col width="18" customWidth="1" min="6" max="6"/>
    <col width="14" customWidth="1" min="7" max="7"/>
    <col width="30" customWidth="1" min="8" max="8"/>
  </cols>
  <sheetData>
    <row r="1" ht="36" customHeight="1">
      <c r="A1" s="24" t="inlineStr">
        <is>
          <t>TITAN — Чек-лист: Дистрибьюторский канал</t>
        </is>
      </c>
    </row>
    <row r="2" ht="22" customHeight="1">
      <c r="A2" s="25" t="inlineStr">
        <is>
          <t>Аудит выполнения программы по презентации «Дорожная карта TITAN» от 20.08.2026 · Слайды 2-13</t>
        </is>
      </c>
    </row>
    <row r="4" ht="32" customHeight="1">
      <c r="A4" s="26" t="inlineStr">
        <is>
          <t>№</t>
        </is>
      </c>
      <c r="B4" s="26" t="inlineStr">
        <is>
          <t>Этап / Направление</t>
        </is>
      </c>
      <c r="C4" s="26" t="inlineStr">
        <is>
          <t>Задача</t>
        </is>
      </c>
      <c r="D4" s="26" t="inlineStr">
        <is>
          <t>Источник (слайд)</t>
        </is>
      </c>
      <c r="E4" s="26" t="inlineStr">
        <is>
          <t>Срок</t>
        </is>
      </c>
      <c r="F4" s="26" t="inlineStr">
        <is>
          <t>Ответственный</t>
        </is>
      </c>
      <c r="G4" s="26" t="inlineStr">
        <is>
          <t>Статус</t>
        </is>
      </c>
      <c r="H4" s="26" t="inlineStr">
        <is>
          <t>Комментарий</t>
        </is>
      </c>
    </row>
    <row r="5" ht="45" customHeight="1">
      <c r="A5" s="27" t="inlineStr">
        <is>
          <t>1</t>
        </is>
      </c>
      <c r="B5" s="28" t="inlineStr">
        <is>
          <t>Аналитика</t>
        </is>
      </c>
      <c r="C5" s="29" t="inlineStr">
        <is>
          <t>Анализ АКБ розничных клиентов: 6006 → 5255 (−12,5%) — зафиксировать базовый период</t>
        </is>
      </c>
      <c r="D5" s="30" t="inlineStr">
        <is>
          <t>Слайд 2</t>
        </is>
      </c>
      <c r="E5" s="30" t="inlineStr">
        <is>
          <t>Июль 2026</t>
        </is>
      </c>
      <c r="F5" s="29" t="inlineStr">
        <is>
          <t>Региональный менеджер</t>
        </is>
      </c>
      <c r="G5" s="30" t="inlineStr">
        <is>
          <t>Выполнено</t>
        </is>
      </c>
      <c r="H5" s="29" t="inlineStr"/>
    </row>
    <row r="6" ht="45" customHeight="1">
      <c r="A6" s="31" t="inlineStr">
        <is>
          <t>2</t>
        </is>
      </c>
      <c r="B6" s="32" t="inlineStr">
        <is>
          <t>Аналитика</t>
        </is>
      </c>
      <c r="C6" s="33" t="inlineStr">
        <is>
          <t>Анализ РТТ, продающих TITAN: 465 → 469 (+0,9%) — подтвердить стабилизацию</t>
        </is>
      </c>
      <c r="D6" s="34" t="inlineStr">
        <is>
          <t>Слайд 2</t>
        </is>
      </c>
      <c r="E6" s="34" t="inlineStr">
        <is>
          <t>Июль 2026</t>
        </is>
      </c>
      <c r="F6" s="33" t="inlineStr">
        <is>
          <t>Региональный менеджер</t>
        </is>
      </c>
      <c r="G6" s="34" t="inlineStr">
        <is>
          <t>Выполнено</t>
        </is>
      </c>
      <c r="H6" s="33" t="inlineStr"/>
    </row>
    <row r="7" ht="45" customHeight="1">
      <c r="A7" s="27" t="inlineStr">
        <is>
          <t>3</t>
        </is>
      </c>
      <c r="B7" s="28" t="inlineStr">
        <is>
          <t>Аналитика</t>
        </is>
      </c>
      <c r="C7" s="29" t="inlineStr">
        <is>
          <t>Анализ кг TITAN (вторичка): 35,5 → 32,7 т (−8%) — зафиксировать как проблему глубины</t>
        </is>
      </c>
      <c r="D7" s="30" t="inlineStr">
        <is>
          <t>Слайд 2</t>
        </is>
      </c>
      <c r="E7" s="30" t="inlineStr">
        <is>
          <t>Июль 2026</t>
        </is>
      </c>
      <c r="F7" s="29" t="inlineStr">
        <is>
          <t>Региональный менеджер</t>
        </is>
      </c>
      <c r="G7" s="30" t="inlineStr">
        <is>
          <t>Выполнено</t>
        </is>
      </c>
      <c r="H7" s="29" t="inlineStr"/>
    </row>
    <row r="8" ht="45" customHeight="1">
      <c r="A8" s="31" t="inlineStr">
        <is>
          <t>4</t>
        </is>
      </c>
      <c r="B8" s="32" t="inlineStr">
        <is>
          <t>Аналитика</t>
        </is>
      </c>
      <c r="C8" s="33" t="inlineStr">
        <is>
          <t>Анализ кг TITAN (первичка): 104,8 → 119,2 т (+13,7%) — подтвердить рост отгрузок</t>
        </is>
      </c>
      <c r="D8" s="34" t="inlineStr">
        <is>
          <t>Слайд 2</t>
        </is>
      </c>
      <c r="E8" s="34" t="inlineStr">
        <is>
          <t>Июль 2026</t>
        </is>
      </c>
      <c r="F8" s="33" t="inlineStr">
        <is>
          <t>Региональный менеджер</t>
        </is>
      </c>
      <c r="G8" s="34" t="inlineStr">
        <is>
          <t>Выполнено</t>
        </is>
      </c>
      <c r="H8" s="33" t="inlineStr"/>
    </row>
    <row r="9" ht="45" customHeight="1">
      <c r="A9" s="27" t="inlineStr">
        <is>
          <t>5</t>
        </is>
      </c>
      <c r="B9" s="28" t="inlineStr">
        <is>
          <t>Аналитика</t>
        </is>
      </c>
      <c r="C9" s="29" t="inlineStr">
        <is>
          <t>Постановка целей: доля 80% АКБ в точках B/C/D; 1000 РТТ; 1000 тонн</t>
        </is>
      </c>
      <c r="D9" s="30" t="inlineStr">
        <is>
          <t>Слайд 2</t>
        </is>
      </c>
      <c r="E9" s="30" t="inlineStr">
        <is>
          <t>Июль 2026</t>
        </is>
      </c>
      <c r="F9" s="29" t="inlineStr">
        <is>
          <t>Руководство</t>
        </is>
      </c>
      <c r="G9" s="30" t="inlineStr">
        <is>
          <t>В работе</t>
        </is>
      </c>
      <c r="H9" s="29" t="inlineStr"/>
    </row>
    <row r="10" ht="45" customHeight="1">
      <c r="A10" s="35" t="inlineStr">
        <is>
          <t>6</t>
        </is>
      </c>
      <c r="B10" s="36" t="inlineStr">
        <is>
          <t>MML расширение</t>
        </is>
      </c>
      <c r="C10" s="37" t="inlineStr">
        <is>
          <t>Расширение MML класса A: 16 → 21 SKU (+5)</t>
        </is>
      </c>
      <c r="D10" s="38" t="inlineStr">
        <is>
          <t>Слайд 3</t>
        </is>
      </c>
      <c r="E10" s="38" t="inlineStr">
        <is>
          <t>Сентябрь 2026</t>
        </is>
      </c>
      <c r="F10" s="37" t="inlineStr">
        <is>
          <t>Пустовалов С.И.</t>
        </is>
      </c>
      <c r="G10" s="38" t="inlineStr">
        <is>
          <t>В работе</t>
        </is>
      </c>
      <c r="H10" s="37" t="inlineStr"/>
    </row>
    <row r="11" ht="45" customHeight="1">
      <c r="A11" s="35" t="inlineStr">
        <is>
          <t>7</t>
        </is>
      </c>
      <c r="B11" s="36" t="inlineStr">
        <is>
          <t>MML расширение</t>
        </is>
      </c>
      <c r="C11" s="37" t="inlineStr">
        <is>
          <t>Расширение MML класса B: 12 → 16 SKU (+4)</t>
        </is>
      </c>
      <c r="D11" s="38" t="inlineStr">
        <is>
          <t>Слайд 3</t>
        </is>
      </c>
      <c r="E11" s="38" t="inlineStr">
        <is>
          <t>Сентябрь 2026</t>
        </is>
      </c>
      <c r="F11" s="37" t="inlineStr">
        <is>
          <t>Пустовалов С.И.</t>
        </is>
      </c>
      <c r="G11" s="38" t="inlineStr">
        <is>
          <t>В работе</t>
        </is>
      </c>
      <c r="H11" s="37" t="inlineStr"/>
    </row>
    <row r="12" ht="45" customHeight="1">
      <c r="A12" s="35" t="inlineStr">
        <is>
          <t>8</t>
        </is>
      </c>
      <c r="B12" s="36" t="inlineStr">
        <is>
          <t>MML расширение</t>
        </is>
      </c>
      <c r="C12" s="37" t="inlineStr">
        <is>
          <t>Расширение MML класса C: 2 → 4 SKU (+2)</t>
        </is>
      </c>
      <c r="D12" s="38" t="inlineStr">
        <is>
          <t>Слайд 3</t>
        </is>
      </c>
      <c r="E12" s="38" t="inlineStr">
        <is>
          <t>Сентябрь 2026</t>
        </is>
      </c>
      <c r="F12" s="37" t="inlineStr">
        <is>
          <t>Пустовалов С.И.</t>
        </is>
      </c>
      <c r="G12" s="38" t="inlineStr">
        <is>
          <t>В работе</t>
        </is>
      </c>
      <c r="H12" s="37" t="inlineStr"/>
    </row>
    <row r="13" ht="45" customHeight="1">
      <c r="A13" s="35" t="inlineStr">
        <is>
          <t>9</t>
        </is>
      </c>
      <c r="B13" s="36" t="inlineStr">
        <is>
          <t>MML расширение</t>
        </is>
      </c>
      <c r="C13" s="37" t="inlineStr">
        <is>
          <t>Внедрение 8 рекомендаций по корректировке MML на основе продаж (+11 SKU)</t>
        </is>
      </c>
      <c r="D13" s="38" t="inlineStr">
        <is>
          <t>Слайд 3</t>
        </is>
      </c>
      <c r="E13" s="38" t="inlineStr">
        <is>
          <t>Октябрь 2026</t>
        </is>
      </c>
      <c r="F13" s="37" t="inlineStr">
        <is>
          <t>Пустовалов С.И.</t>
        </is>
      </c>
      <c r="G13" s="38" t="inlineStr">
        <is>
          <t>Не начато</t>
        </is>
      </c>
      <c r="H13" s="37" t="inlineStr"/>
    </row>
    <row r="14" ht="45" customHeight="1">
      <c r="A14" s="39" t="inlineStr">
        <is>
          <t>10</t>
        </is>
      </c>
      <c r="B14" s="40" t="inlineStr">
        <is>
          <t>ЭТАП 0 — Поиск</t>
        </is>
      </c>
      <c r="C14" s="41" t="inlineStr">
        <is>
          <t>Инструмент 1: Персональный визит РМ к потенциальному партнёру (конверсия 40-60%)</t>
        </is>
      </c>
      <c r="D14" s="42" t="inlineStr">
        <is>
          <t>Слайд 4</t>
        </is>
      </c>
      <c r="E14" s="42" t="inlineStr">
        <is>
          <t>Постоянно</t>
        </is>
      </c>
      <c r="F14" s="41" t="inlineStr">
        <is>
          <t>Региональный менеджер</t>
        </is>
      </c>
      <c r="G14" s="42" t="inlineStr">
        <is>
          <t>В работе</t>
        </is>
      </c>
      <c r="H14" s="41" t="inlineStr"/>
    </row>
    <row r="15" ht="45" customHeight="1">
      <c r="A15" s="39" t="inlineStr">
        <is>
          <t>11</t>
        </is>
      </c>
      <c r="B15" s="40" t="inlineStr">
        <is>
          <t>ЭТАП 0 — Поиск</t>
        </is>
      </c>
      <c r="C15" s="41" t="inlineStr">
        <is>
          <t>Инструмент 2: Звонок РМ (тёплый прозвон) после email/письма (конверсия 15-25%)</t>
        </is>
      </c>
      <c r="D15" s="42" t="inlineStr">
        <is>
          <t>Слайд 4</t>
        </is>
      </c>
      <c r="E15" s="42" t="inlineStr">
        <is>
          <t>Постоянно</t>
        </is>
      </c>
      <c r="F15" s="41" t="inlineStr">
        <is>
          <t>Региональный менеджер</t>
        </is>
      </c>
      <c r="G15" s="42" t="inlineStr">
        <is>
          <t>В работе</t>
        </is>
      </c>
      <c r="H15" s="41" t="inlineStr"/>
    </row>
    <row r="16" ht="45" customHeight="1">
      <c r="A16" s="39" t="inlineStr">
        <is>
          <t>12</t>
        </is>
      </c>
      <c r="B16" s="40" t="inlineStr">
        <is>
          <t>ЭТАП 0 — Поиск</t>
        </is>
      </c>
      <c r="C16" s="41" t="inlineStr">
        <is>
          <t>Инструмент 3: Отправка приглашения через мессенджер МАХ</t>
        </is>
      </c>
      <c r="D16" s="42" t="inlineStr">
        <is>
          <t>Слайд 4</t>
        </is>
      </c>
      <c r="E16" s="42" t="inlineStr">
        <is>
          <t>Постоянно</t>
        </is>
      </c>
      <c r="F16" s="41" t="inlineStr">
        <is>
          <t>Региональный менеджер</t>
        </is>
      </c>
      <c r="G16" s="42" t="inlineStr">
        <is>
          <t>В работе</t>
        </is>
      </c>
      <c r="H16" s="41" t="inlineStr"/>
    </row>
    <row r="17" ht="45" customHeight="1">
      <c r="A17" s="39" t="inlineStr">
        <is>
          <t>13</t>
        </is>
      </c>
      <c r="B17" s="40" t="inlineStr">
        <is>
          <t>ЭТАП 0 — Поиск</t>
        </is>
      </c>
      <c r="C17" s="41" t="inlineStr">
        <is>
          <t>Инструмент 4: Email-рассылка по базе «белые пятна» (конверсия 3-7%)</t>
        </is>
      </c>
      <c r="D17" s="42" t="inlineStr">
        <is>
          <t>Слайд 4</t>
        </is>
      </c>
      <c r="E17" s="42" t="inlineStr">
        <is>
          <t>Ежеквартально</t>
        </is>
      </c>
      <c r="F17" s="41" t="inlineStr">
        <is>
          <t>Маркетинг</t>
        </is>
      </c>
      <c r="G17" s="42" t="inlineStr">
        <is>
          <t>В работе</t>
        </is>
      </c>
      <c r="H17" s="41" t="inlineStr"/>
    </row>
    <row r="18" ht="45" customHeight="1">
      <c r="A18" s="39" t="inlineStr">
        <is>
          <t>14</t>
        </is>
      </c>
      <c r="B18" s="40" t="inlineStr">
        <is>
          <t>ЭТАП 0 — Поиск</t>
        </is>
      </c>
      <c r="C18" s="41" t="inlineStr">
        <is>
          <t>Инструмент 5: Письмо по обычной почте (конверсия 8-15%)</t>
        </is>
      </c>
      <c r="D18" s="42" t="inlineStr">
        <is>
          <t>Слайд 4</t>
        </is>
      </c>
      <c r="E18" s="42" t="inlineStr">
        <is>
          <t>Ежеквартально</t>
        </is>
      </c>
      <c r="F18" s="41" t="inlineStr">
        <is>
          <t>Маркетинг</t>
        </is>
      </c>
      <c r="G18" s="42" t="inlineStr">
        <is>
          <t>В работе</t>
        </is>
      </c>
      <c r="H18" s="41" t="inlineStr"/>
    </row>
    <row r="19" ht="45" customHeight="1">
      <c r="A19" s="39" t="inlineStr">
        <is>
          <t>15</t>
        </is>
      </c>
      <c r="B19" s="40" t="inlineStr">
        <is>
          <t>ЭТАП 0 — Поиск</t>
        </is>
      </c>
      <c r="C19" s="41" t="inlineStr">
        <is>
          <t>Инструмент 6: Приглашение на профильных выставках (СибСтройНеделя, Казань Экспо, Build Ural)</t>
        </is>
      </c>
      <c r="D19" s="42" t="inlineStr">
        <is>
          <t>Слайд 4</t>
        </is>
      </c>
      <c r="E19" s="42" t="inlineStr">
        <is>
          <t>По графику выставок</t>
        </is>
      </c>
      <c r="F19" s="41" t="inlineStr">
        <is>
          <t>Маркетинг</t>
        </is>
      </c>
      <c r="G19" s="42" t="inlineStr">
        <is>
          <t>В работе</t>
        </is>
      </c>
      <c r="H19" s="41" t="inlineStr"/>
    </row>
    <row r="20" ht="45" customHeight="1">
      <c r="A20" s="43" t="inlineStr">
        <is>
          <t>16</t>
        </is>
      </c>
      <c r="B20" s="44" t="inlineStr">
        <is>
          <t>ПИЛОТЫ</t>
        </is>
      </c>
      <c r="C20" s="45" t="inlineStr">
        <is>
          <t>Пилот 01: ПАЛИТРА (Краснодарский край) — запуск программы TITAN</t>
        </is>
      </c>
      <c r="D20" s="46" t="inlineStr">
        <is>
          <t>Слайд 6</t>
        </is>
      </c>
      <c r="E20" s="46" t="inlineStr">
        <is>
          <t>Август 2026</t>
        </is>
      </c>
      <c r="F20" s="45" t="inlineStr">
        <is>
          <t>Меликсетьян С.З.</t>
        </is>
      </c>
      <c r="G20" s="46" t="inlineStr">
        <is>
          <t>В работе</t>
        </is>
      </c>
      <c r="H20" s="45" t="inlineStr"/>
    </row>
    <row r="21" ht="45" customHeight="1">
      <c r="A21" s="43" t="inlineStr">
        <is>
          <t>17</t>
        </is>
      </c>
      <c r="B21" s="44" t="inlineStr">
        <is>
          <t>ПИЛОТЫ</t>
        </is>
      </c>
      <c r="C21" s="45" t="inlineStr">
        <is>
          <t>Пилот 02: И.П. Рыгалов (Пензенская область) — запуск программы TITAN</t>
        </is>
      </c>
      <c r="D21" s="46" t="inlineStr">
        <is>
          <t>Слайд 6</t>
        </is>
      </c>
      <c r="E21" s="46" t="inlineStr">
        <is>
          <t>Август 2026</t>
        </is>
      </c>
      <c r="F21" s="45" t="inlineStr">
        <is>
          <t>Меликсетьян С.З.</t>
        </is>
      </c>
      <c r="G21" s="46" t="inlineStr">
        <is>
          <t>В работе</t>
        </is>
      </c>
      <c r="H21" s="45" t="inlineStr"/>
    </row>
    <row r="22" ht="45" customHeight="1">
      <c r="A22" s="43" t="inlineStr">
        <is>
          <t>18</t>
        </is>
      </c>
      <c r="B22" s="44" t="inlineStr">
        <is>
          <t>ПИЛОТЫ</t>
        </is>
      </c>
      <c r="C22" s="45" t="inlineStr">
        <is>
          <t>Пилот 03: БРОЗЕКС (Свердловская область) — запуск программы TITAN</t>
        </is>
      </c>
      <c r="D22" s="46" t="inlineStr">
        <is>
          <t>Слайд 6</t>
        </is>
      </c>
      <c r="E22" s="46" t="inlineStr">
        <is>
          <t>Август 2026</t>
        </is>
      </c>
      <c r="F22" s="45" t="inlineStr">
        <is>
          <t>Захарова О.Г.</t>
        </is>
      </c>
      <c r="G22" s="46" t="inlineStr">
        <is>
          <t>В работе</t>
        </is>
      </c>
      <c r="H22" s="45" t="inlineStr"/>
    </row>
    <row r="23" ht="45" customHeight="1">
      <c r="A23" s="47" t="inlineStr">
        <is>
          <t>19</t>
        </is>
      </c>
      <c r="B23" s="48" t="inlineStr">
        <is>
          <t>ОБУЧЕНИЕ ТП</t>
        </is>
      </c>
      <c r="C23" s="49" t="inlineStr">
        <is>
          <t>Сбор данных по ТП общего прайса (ФИО, телефон, email, тип прайса, дата обучения)</t>
        </is>
      </c>
      <c r="D23" s="50" t="inlineStr">
        <is>
          <t>Слайд 5</t>
        </is>
      </c>
      <c r="E23" s="50" t="inlineStr">
        <is>
          <t>Сентябрь 2026</t>
        </is>
      </c>
      <c r="F23" s="49" t="inlineStr">
        <is>
          <t>Региональный менеджер</t>
        </is>
      </c>
      <c r="G23" s="50" t="inlineStr">
        <is>
          <t>В работе</t>
        </is>
      </c>
      <c r="H23" s="49" t="inlineStr"/>
    </row>
    <row r="24" ht="45" customHeight="1">
      <c r="A24" s="47" t="inlineStr">
        <is>
          <t>20</t>
        </is>
      </c>
      <c r="B24" s="48" t="inlineStr">
        <is>
          <t>ОБУЧЕНИЕ ТП</t>
        </is>
      </c>
      <c r="C24" s="49" t="inlineStr">
        <is>
          <t>Онлайн-обучение: материалы по TITAN ССВ + видеоинструкция + скрипт продаж</t>
        </is>
      </c>
      <c r="D24" s="50" t="inlineStr">
        <is>
          <t>Слайд 5</t>
        </is>
      </c>
      <c r="E24" s="50" t="inlineStr">
        <is>
          <t>Октябрь 2026</t>
        </is>
      </c>
      <c r="F24" s="49" t="inlineStr">
        <is>
          <t>Маркетинг</t>
        </is>
      </c>
      <c r="G24" s="50" t="inlineStr">
        <is>
          <t>В работе</t>
        </is>
      </c>
      <c r="H24" s="49" t="inlineStr"/>
    </row>
    <row r="25" ht="45" customHeight="1">
      <c r="A25" s="47" t="inlineStr">
        <is>
          <t>21</t>
        </is>
      </c>
      <c r="B25" s="48" t="inlineStr">
        <is>
          <t>ОБУЧЕНИЕ ТП</t>
        </is>
      </c>
      <c r="C25" s="49" t="inlineStr">
        <is>
          <t>Прохождение теста каждым ТП на знание программы TITAN ССВ</t>
        </is>
      </c>
      <c r="D25" s="50" t="inlineStr">
        <is>
          <t>Слайд 5</t>
        </is>
      </c>
      <c r="E25" s="50" t="inlineStr">
        <is>
          <t>Ноябрь 2026</t>
        </is>
      </c>
      <c r="F25" s="49" t="inlineStr">
        <is>
          <t>Региональный менеджер</t>
        </is>
      </c>
      <c r="G25" s="50" t="inlineStr">
        <is>
          <t>Не начато</t>
        </is>
      </c>
      <c r="H25" s="49" t="inlineStr"/>
    </row>
    <row r="26" ht="45" customHeight="1">
      <c r="A26" s="47" t="inlineStr">
        <is>
          <t>22</t>
        </is>
      </c>
      <c r="B26" s="48" t="inlineStr">
        <is>
          <t>ОБУЧЕНИЕ ТП</t>
        </is>
      </c>
      <c r="C26" s="49" t="inlineStr">
        <is>
          <t>Сертификация: сертификат «ТП TITAN ССВ» + включение в программу мотивации</t>
        </is>
      </c>
      <c r="D26" s="50" t="inlineStr">
        <is>
          <t>Слайд 5</t>
        </is>
      </c>
      <c r="E26" s="50" t="inlineStr">
        <is>
          <t>Ноябрь 2026</t>
        </is>
      </c>
      <c r="F26" s="49" t="inlineStr">
        <is>
          <t>Руководство</t>
        </is>
      </c>
      <c r="G26" s="50" t="inlineStr">
        <is>
          <t>Не начато</t>
        </is>
      </c>
      <c r="H26" s="49" t="inlineStr"/>
    </row>
    <row r="27" ht="45" customHeight="1">
      <c r="A27" s="51" t="inlineStr">
        <is>
          <t>23</t>
        </is>
      </c>
      <c r="B27" s="52" t="inlineStr">
        <is>
          <t>ЭТАП 1 — POS</t>
        </is>
      </c>
      <c r="C27" s="53" t="inlineStr">
        <is>
          <t>Инструмент 1: Шелфтокеры (тираж 2000 шт) — печать и распределение</t>
        </is>
      </c>
      <c r="D27" s="54" t="inlineStr">
        <is>
          <t>Слайды 9, 11</t>
        </is>
      </c>
      <c r="E27" s="54" t="inlineStr">
        <is>
          <t>Сентябрь 2026</t>
        </is>
      </c>
      <c r="F27" s="53" t="inlineStr">
        <is>
          <t>Литвиненко Н.</t>
        </is>
      </c>
      <c r="G27" s="54" t="inlineStr">
        <is>
          <t>В работе</t>
        </is>
      </c>
      <c r="H27" s="53" t="inlineStr"/>
    </row>
    <row r="28" ht="45" customHeight="1">
      <c r="A28" s="51" t="inlineStr">
        <is>
          <t>24</t>
        </is>
      </c>
      <c r="B28" s="52" t="inlineStr">
        <is>
          <t>ЭТАП 1 — POS</t>
        </is>
      </c>
      <c r="C28" s="53" t="inlineStr">
        <is>
          <t>Инструмент 2: Воблеры (тираж 1000 шт) — печать и распределение</t>
        </is>
      </c>
      <c r="D28" s="54" t="inlineStr">
        <is>
          <t>Слайды 9, 11</t>
        </is>
      </c>
      <c r="E28" s="54" t="inlineStr">
        <is>
          <t>Сентябрь 2026</t>
        </is>
      </c>
      <c r="F28" s="53" t="inlineStr">
        <is>
          <t>Литвиненко Н.</t>
        </is>
      </c>
      <c r="G28" s="54" t="inlineStr">
        <is>
          <t>В работе</t>
        </is>
      </c>
      <c r="H28" s="53" t="inlineStr"/>
    </row>
    <row r="29" ht="45" customHeight="1">
      <c r="A29" s="51" t="inlineStr">
        <is>
          <t>25</t>
        </is>
      </c>
      <c r="B29" s="52" t="inlineStr">
        <is>
          <t>ЭТАП 1 — POS</t>
        </is>
      </c>
      <c r="C29" s="53" t="inlineStr">
        <is>
          <t>Инструмент 3: Брендированные ценники (тираж 1000 шт) — печать и распределение</t>
        </is>
      </c>
      <c r="D29" s="54" t="inlineStr">
        <is>
          <t>Слайды 9, 11</t>
        </is>
      </c>
      <c r="E29" s="54" t="inlineStr">
        <is>
          <t>Сентябрь 2026</t>
        </is>
      </c>
      <c r="F29" s="53" t="inlineStr">
        <is>
          <t>Литвиненко Н.</t>
        </is>
      </c>
      <c r="G29" s="54" t="inlineStr">
        <is>
          <t>В работе</t>
        </is>
      </c>
      <c r="H29" s="53" t="inlineStr"/>
    </row>
    <row r="30" ht="45" customHeight="1">
      <c r="A30" s="51" t="inlineStr">
        <is>
          <t>26</t>
        </is>
      </c>
      <c r="B30" s="52" t="inlineStr">
        <is>
          <t>ЭТАП 1 — POS</t>
        </is>
      </c>
      <c r="C30" s="53" t="inlineStr">
        <is>
          <t>Инструмент 4: Листовка TITAN с ССВ (тираж 500 шт) — разработка и печать</t>
        </is>
      </c>
      <c r="D30" s="54" t="inlineStr">
        <is>
          <t>Слайды 9, 11</t>
        </is>
      </c>
      <c r="E30" s="54" t="inlineStr">
        <is>
          <t>Сентябрь 2026</t>
        </is>
      </c>
      <c r="F30" s="53" t="inlineStr">
        <is>
          <t>Литвиненко Н.</t>
        </is>
      </c>
      <c r="G30" s="54" t="inlineStr">
        <is>
          <t>В работе</t>
        </is>
      </c>
      <c r="H30" s="53" t="inlineStr"/>
    </row>
    <row r="31" ht="45" customHeight="1">
      <c r="A31" s="51" t="inlineStr">
        <is>
          <t>27</t>
        </is>
      </c>
      <c r="B31" s="52" t="inlineStr">
        <is>
          <t>ЭТАП 1 — POS</t>
        </is>
      </c>
      <c r="C31" s="53" t="inlineStr">
        <is>
          <t>Инструмент 5: MML + планограмма выкладки TITAN (по классам ТТ)</t>
        </is>
      </c>
      <c r="D31" s="54" t="inlineStr">
        <is>
          <t>Слайд 9</t>
        </is>
      </c>
      <c r="E31" s="54" t="inlineStr">
        <is>
          <t>Сентябрь 2026</t>
        </is>
      </c>
      <c r="F31" s="53" t="inlineStr">
        <is>
          <t>Пустовалов С.И.</t>
        </is>
      </c>
      <c r="G31" s="54" t="inlineStr">
        <is>
          <t>В работе</t>
        </is>
      </c>
      <c r="H31" s="53" t="inlineStr"/>
    </row>
    <row r="32" ht="45" customHeight="1">
      <c r="A32" s="51" t="inlineStr">
        <is>
          <t>28</t>
        </is>
      </c>
      <c r="B32" s="52" t="inlineStr">
        <is>
          <t>ЭТАП 1 — Контент</t>
        </is>
      </c>
      <c r="C32" s="53" t="inlineStr">
        <is>
          <t>Инструмент 6: Видеоинструкция по нанесению TITAN (5 шагов + монтаж)</t>
        </is>
      </c>
      <c r="D32" s="54" t="inlineStr">
        <is>
          <t>Слайды 10, 11</t>
        </is>
      </c>
      <c r="E32" s="54" t="inlineStr">
        <is>
          <t>Октябрь 2026</t>
        </is>
      </c>
      <c r="F32" s="53" t="inlineStr">
        <is>
          <t>Маркетинг</t>
        </is>
      </c>
      <c r="G32" s="54" t="inlineStr">
        <is>
          <t>В работе</t>
        </is>
      </c>
      <c r="H32" s="53" t="inlineStr"/>
    </row>
    <row r="33" ht="45" customHeight="1">
      <c r="A33" s="51" t="inlineStr">
        <is>
          <t>29</t>
        </is>
      </c>
      <c r="B33" s="52" t="inlineStr">
        <is>
          <t>ЭТАП 1 — Контент</t>
        </is>
      </c>
      <c r="C33" s="53" t="inlineStr">
        <is>
          <t>Инструмент 7: Видеоролики: видеопортфолио + ролик для ТП (УТП, скрипт продажи)</t>
        </is>
      </c>
      <c r="D33" s="54" t="inlineStr">
        <is>
          <t>Слайды 10, 11</t>
        </is>
      </c>
      <c r="E33" s="54" t="inlineStr">
        <is>
          <t>Октябрь 2026</t>
        </is>
      </c>
      <c r="F33" s="53" t="inlineStr">
        <is>
          <t>Маркетинг</t>
        </is>
      </c>
      <c r="G33" s="54" t="inlineStr">
        <is>
          <t>В работе</t>
        </is>
      </c>
      <c r="H33" s="53" t="inlineStr"/>
    </row>
    <row r="34" ht="45" customHeight="1">
      <c r="A34" s="51" t="inlineStr">
        <is>
          <t>30</t>
        </is>
      </c>
      <c r="B34" s="52" t="inlineStr">
        <is>
          <t>ЭТАП 1 — Контент</t>
        </is>
      </c>
      <c r="C34" s="53" t="inlineStr">
        <is>
          <t>Инструмент 8: Фото/видео POSm на облаке (исходники, листовки, ролики, примеры выкладок)</t>
        </is>
      </c>
      <c r="D34" s="54" t="inlineStr">
        <is>
          <t>Слайд 10</t>
        </is>
      </c>
      <c r="E34" s="54" t="inlineStr">
        <is>
          <t>Октябрь 2026</t>
        </is>
      </c>
      <c r="F34" s="53" t="inlineStr">
        <is>
          <t>Маркетинг</t>
        </is>
      </c>
      <c r="G34" s="54" t="inlineStr">
        <is>
          <t>В работе</t>
        </is>
      </c>
      <c r="H34" s="53" t="inlineStr"/>
    </row>
    <row r="35" ht="45" customHeight="1">
      <c r="A35" s="51" t="inlineStr">
        <is>
          <t>31</t>
        </is>
      </c>
      <c r="B35" s="52" t="inlineStr">
        <is>
          <t>ЭТАП 1 — Контент</t>
        </is>
      </c>
      <c r="C35" s="53" t="inlineStr">
        <is>
          <t>Инструмент 9: Контент для соцсетей — библиотека готовых постов (картинка + текст)</t>
        </is>
      </c>
      <c r="D35" s="54" t="inlineStr">
        <is>
          <t>Слайд 10</t>
        </is>
      </c>
      <c r="E35" s="54" t="inlineStr">
        <is>
          <t>Октябрь 2026</t>
        </is>
      </c>
      <c r="F35" s="53" t="inlineStr">
        <is>
          <t>Маркетинг</t>
        </is>
      </c>
      <c r="G35" s="54" t="inlineStr">
        <is>
          <t>В работе</t>
        </is>
      </c>
      <c r="H35" s="53" t="inlineStr"/>
    </row>
    <row r="36" ht="45" customHeight="1">
      <c r="A36" s="51" t="inlineStr">
        <is>
          <t>32</t>
        </is>
      </c>
      <c r="B36" s="52" t="inlineStr">
        <is>
          <t>ЭТАП 1 — Контент</t>
        </is>
      </c>
      <c r="C36" s="53" t="inlineStr">
        <is>
          <t>QR-код на POSm / на банке с UTM-метками для отслеживания переходов</t>
        </is>
      </c>
      <c r="D36" s="54" t="inlineStr">
        <is>
          <t>Слайд 10</t>
        </is>
      </c>
      <c r="E36" s="54" t="inlineStr">
        <is>
          <t>Ноябрь 2026</t>
        </is>
      </c>
      <c r="F36" s="53" t="inlineStr">
        <is>
          <t>Маркетинг</t>
        </is>
      </c>
      <c r="G36" s="54" t="inlineStr">
        <is>
          <t>Не начато</t>
        </is>
      </c>
      <c r="H36" s="53" t="inlineStr"/>
    </row>
    <row r="37" ht="45" customHeight="1">
      <c r="A37" s="51" t="inlineStr">
        <is>
          <t>33</t>
        </is>
      </c>
      <c r="B37" s="52" t="inlineStr">
        <is>
          <t>ЭТАП 1 — Контент</t>
        </is>
      </c>
      <c r="C37" s="53" t="inlineStr">
        <is>
          <t>Ролл-ап для выездных мероприятий (мастер-классы, промо-дни)</t>
        </is>
      </c>
      <c r="D37" s="54" t="inlineStr">
        <is>
          <t>Слайд 10</t>
        </is>
      </c>
      <c r="E37" s="54" t="inlineStr">
        <is>
          <t>Октябрь 2026</t>
        </is>
      </c>
      <c r="F37" s="53" t="inlineStr">
        <is>
          <t>Литвиненко Н.</t>
        </is>
      </c>
      <c r="G37" s="54" t="inlineStr">
        <is>
          <t>В работе</t>
        </is>
      </c>
      <c r="H37" s="53" t="inlineStr"/>
    </row>
    <row r="38" ht="45" customHeight="1">
      <c r="A38" s="31" t="inlineStr">
        <is>
          <t>34</t>
        </is>
      </c>
      <c r="B38" s="32" t="inlineStr">
        <is>
          <t>СМЕТА</t>
        </is>
      </c>
      <c r="C38" s="33" t="inlineStr">
        <is>
          <t>Статья 1: Шелфтокеры — 60 000 ₽ (заказано/оплачено)</t>
        </is>
      </c>
      <c r="D38" s="34" t="inlineStr">
        <is>
          <t>Слайд 11</t>
        </is>
      </c>
      <c r="E38" s="34" t="inlineStr">
        <is>
          <t>Сентябрь 2026</t>
        </is>
      </c>
      <c r="F38" s="33" t="inlineStr">
        <is>
          <t>Финансы</t>
        </is>
      </c>
      <c r="G38" s="34" t="inlineStr">
        <is>
          <t>В работе</t>
        </is>
      </c>
      <c r="H38" s="33" t="inlineStr"/>
    </row>
    <row r="39" ht="45" customHeight="1">
      <c r="A39" s="27" t="inlineStr">
        <is>
          <t>35</t>
        </is>
      </c>
      <c r="B39" s="28" t="inlineStr">
        <is>
          <t>СМЕТА</t>
        </is>
      </c>
      <c r="C39" s="29" t="inlineStr">
        <is>
          <t>Статья 2: Воблеры — 30 000 ₽ (заказано/оплачено)</t>
        </is>
      </c>
      <c r="D39" s="30" t="inlineStr">
        <is>
          <t>Слайд 11</t>
        </is>
      </c>
      <c r="E39" s="30" t="inlineStr">
        <is>
          <t>Сентябрь 2026</t>
        </is>
      </c>
      <c r="F39" s="29" t="inlineStr">
        <is>
          <t>Финансы</t>
        </is>
      </c>
      <c r="G39" s="30" t="inlineStr">
        <is>
          <t>В работе</t>
        </is>
      </c>
      <c r="H39" s="29" t="inlineStr"/>
    </row>
    <row r="40" ht="45" customHeight="1">
      <c r="A40" s="31" t="inlineStr">
        <is>
          <t>36</t>
        </is>
      </c>
      <c r="B40" s="32" t="inlineStr">
        <is>
          <t>СМЕТА</t>
        </is>
      </c>
      <c r="C40" s="33" t="inlineStr">
        <is>
          <t>Статья 3: Брендированные ценники — 35 000 ₽ (заказано/оплачено)</t>
        </is>
      </c>
      <c r="D40" s="34" t="inlineStr">
        <is>
          <t>Слайд 11</t>
        </is>
      </c>
      <c r="E40" s="34" t="inlineStr">
        <is>
          <t>Сентябрь 2026</t>
        </is>
      </c>
      <c r="F40" s="33" t="inlineStr">
        <is>
          <t>Финансы</t>
        </is>
      </c>
      <c r="G40" s="34" t="inlineStr">
        <is>
          <t>В работе</t>
        </is>
      </c>
      <c r="H40" s="33" t="inlineStr"/>
    </row>
    <row r="41" ht="45" customHeight="1">
      <c r="A41" s="27" t="inlineStr">
        <is>
          <t>37</t>
        </is>
      </c>
      <c r="B41" s="28" t="inlineStr">
        <is>
          <t>СМЕТА</t>
        </is>
      </c>
      <c r="C41" s="29" t="inlineStr">
        <is>
          <t>Статья 4: Листовка TITAN — 20 000 ₽</t>
        </is>
      </c>
      <c r="D41" s="30" t="inlineStr">
        <is>
          <t>Слайд 11</t>
        </is>
      </c>
      <c r="E41" s="30" t="inlineStr">
        <is>
          <t>Сентябрь 2026</t>
        </is>
      </c>
      <c r="F41" s="29" t="inlineStr">
        <is>
          <t>Финансы</t>
        </is>
      </c>
      <c r="G41" s="30" t="inlineStr">
        <is>
          <t>Выполнено</t>
        </is>
      </c>
      <c r="H41" s="29" t="inlineStr"/>
    </row>
    <row r="42" ht="45" customHeight="1">
      <c r="A42" s="31" t="inlineStr">
        <is>
          <t>38</t>
        </is>
      </c>
      <c r="B42" s="32" t="inlineStr">
        <is>
          <t>СМЕТА</t>
        </is>
      </c>
      <c r="C42" s="33" t="inlineStr">
        <is>
          <t>Статья 5: Видео-инструкция — 35 865 ₽</t>
        </is>
      </c>
      <c r="D42" s="34" t="inlineStr">
        <is>
          <t>Слайд 11</t>
        </is>
      </c>
      <c r="E42" s="34" t="inlineStr">
        <is>
          <t>Октябрь 2026</t>
        </is>
      </c>
      <c r="F42" s="33" t="inlineStr">
        <is>
          <t>Финансы</t>
        </is>
      </c>
      <c r="G42" s="34" t="inlineStr">
        <is>
          <t>В работе</t>
        </is>
      </c>
      <c r="H42" s="33" t="inlineStr"/>
    </row>
    <row r="43" ht="45" customHeight="1">
      <c r="A43" s="27" t="inlineStr">
        <is>
          <t>39</t>
        </is>
      </c>
      <c r="B43" s="28" t="inlineStr">
        <is>
          <t>СМЕТА</t>
        </is>
      </c>
      <c r="C43" s="29" t="inlineStr">
        <is>
          <t>Статья 6: Видеопортфолио объектов — 71 724 ₽</t>
        </is>
      </c>
      <c r="D43" s="30" t="inlineStr">
        <is>
          <t>Слайд 11</t>
        </is>
      </c>
      <c r="E43" s="30" t="inlineStr">
        <is>
          <t>Октябрь 2026</t>
        </is>
      </c>
      <c r="F43" s="29" t="inlineStr">
        <is>
          <t>Финансы</t>
        </is>
      </c>
      <c r="G43" s="30" t="inlineStr">
        <is>
          <t>В работе</t>
        </is>
      </c>
      <c r="H43" s="29" t="inlineStr"/>
    </row>
    <row r="44" ht="45" customHeight="1">
      <c r="A44" s="31" t="inlineStr">
        <is>
          <t>40</t>
        </is>
      </c>
      <c r="B44" s="32" t="inlineStr">
        <is>
          <t>СМЕТА</t>
        </is>
      </c>
      <c r="C44" s="33" t="inlineStr">
        <is>
          <t>Статья 7: Видео-презентация для ТП — 41 611 ₽</t>
        </is>
      </c>
      <c r="D44" s="34" t="inlineStr">
        <is>
          <t>Слайд 11</t>
        </is>
      </c>
      <c r="E44" s="34" t="inlineStr">
        <is>
          <t>Октябрь 2026</t>
        </is>
      </c>
      <c r="F44" s="33" t="inlineStr">
        <is>
          <t>Финансы</t>
        </is>
      </c>
      <c r="G44" s="34" t="inlineStr">
        <is>
          <t>В работе</t>
        </is>
      </c>
      <c r="H44" s="33" t="inlineStr"/>
    </row>
    <row r="45" ht="45" customHeight="1">
      <c r="A45" s="27" t="inlineStr">
        <is>
          <t>41</t>
        </is>
      </c>
      <c r="B45" s="28" t="inlineStr">
        <is>
          <t>СМЕТА</t>
        </is>
      </c>
      <c r="C45" s="29" t="inlineStr">
        <is>
          <t>Статья 8: Модернизация сайта + лендинг — 50 000 ₽</t>
        </is>
      </c>
      <c r="D45" s="30" t="inlineStr">
        <is>
          <t>Слайд 11</t>
        </is>
      </c>
      <c r="E45" s="30" t="inlineStr">
        <is>
          <t>Ноябрь 2026</t>
        </is>
      </c>
      <c r="F45" s="29" t="inlineStr">
        <is>
          <t>Финансы</t>
        </is>
      </c>
      <c r="G45" s="30" t="inlineStr">
        <is>
          <t>В работе</t>
        </is>
      </c>
      <c r="H45" s="29" t="inlineStr"/>
    </row>
    <row r="46" ht="45" customHeight="1">
      <c r="A46" s="31" t="inlineStr">
        <is>
          <t>42</t>
        </is>
      </c>
      <c r="B46" s="32" t="inlineStr">
        <is>
          <t>СМЕТА</t>
        </is>
      </c>
      <c r="C46" s="33" t="inlineStr">
        <is>
          <t>Контроль итога Этап 1: 344 200 ₽ (сверка фактических затрат)</t>
        </is>
      </c>
      <c r="D46" s="34" t="inlineStr">
        <is>
          <t>Слайд 11</t>
        </is>
      </c>
      <c r="E46" s="34" t="inlineStr">
        <is>
          <t>Декабрь 2026</t>
        </is>
      </c>
      <c r="F46" s="33" t="inlineStr">
        <is>
          <t>Финансы</t>
        </is>
      </c>
      <c r="G46" s="34" t="inlineStr">
        <is>
          <t>Не начато</t>
        </is>
      </c>
      <c r="H46" s="33" t="inlineStr"/>
    </row>
    <row r="47" ht="45" customHeight="1">
      <c r="A47" s="55" t="inlineStr">
        <is>
          <t>43</t>
        </is>
      </c>
      <c r="B47" s="56" t="inlineStr">
        <is>
          <t>ЭТАП 2 — Digital</t>
        </is>
      </c>
      <c r="C47" s="57" t="inlineStr">
        <is>
          <t>Инструмент 1: Экстремальный тест 365 дней — объект покрашен, выставлен на воздух, онлайн-камера 24/7</t>
        </is>
      </c>
      <c r="D47" s="58" t="inlineStr">
        <is>
          <t>Слайд 12</t>
        </is>
      </c>
      <c r="E47" s="58" t="inlineStr">
        <is>
          <t>Запущен</t>
        </is>
      </c>
      <c r="F47" s="57" t="inlineStr">
        <is>
          <t>Маркетинг</t>
        </is>
      </c>
      <c r="G47" s="58" t="inlineStr">
        <is>
          <t>В работе</t>
        </is>
      </c>
      <c r="H47" s="57" t="inlineStr"/>
    </row>
    <row r="48" ht="45" customHeight="1">
      <c r="A48" s="55" t="inlineStr">
        <is>
          <t>44</t>
        </is>
      </c>
      <c r="B48" s="56" t="inlineStr">
        <is>
          <t>ЭТАП 2 — Digital</t>
        </is>
      </c>
      <c r="C48" s="57" t="inlineStr">
        <is>
          <t>Инструмент 1: Ежемесячные фото-отчёты + независимая экспертиза ООО «Рутил»</t>
        </is>
      </c>
      <c r="D48" s="58" t="inlineStr">
        <is>
          <t>Слайд 12</t>
        </is>
      </c>
      <c r="E48" s="58" t="inlineStr">
        <is>
          <t>Ежемесячно</t>
        </is>
      </c>
      <c r="F48" s="57" t="inlineStr">
        <is>
          <t>Маркетинг</t>
        </is>
      </c>
      <c r="G48" s="58" t="inlineStr">
        <is>
          <t>В работе</t>
        </is>
      </c>
      <c r="H48" s="57" t="inlineStr"/>
    </row>
    <row r="49" ht="45" customHeight="1">
      <c r="A49" s="55" t="inlineStr">
        <is>
          <t>45</t>
        </is>
      </c>
      <c r="B49" s="56" t="inlineStr">
        <is>
          <t>ЭТАП 2 — Digital</t>
        </is>
      </c>
      <c r="C49" s="57" t="inlineStr">
        <is>
          <t>Инструмент 2: Яндекс.Директ / VK — контекстная реклама по геолокации ТТ партнёров</t>
        </is>
      </c>
      <c r="D49" s="58" t="inlineStr">
        <is>
          <t>Слайд 12</t>
        </is>
      </c>
      <c r="E49" s="58" t="inlineStr">
        <is>
          <t>Октябрь 2026</t>
        </is>
      </c>
      <c r="F49" s="57" t="inlineStr">
        <is>
          <t>Борисова Д.</t>
        </is>
      </c>
      <c r="G49" s="58" t="inlineStr">
        <is>
          <t>В работе</t>
        </is>
      </c>
      <c r="H49" s="57" t="inlineStr"/>
    </row>
    <row r="50" ht="45" customHeight="1">
      <c r="A50" s="55" t="inlineStr">
        <is>
          <t>46</t>
        </is>
      </c>
      <c r="B50" s="56" t="inlineStr">
        <is>
          <t>ЭТАП 2 — Digital</t>
        </is>
      </c>
      <c r="C50" s="57" t="inlineStr">
        <is>
          <t>Инструмент 3: RuTube — пре-роллы 15-30 сек (ремонт, строительство, дача, авто)</t>
        </is>
      </c>
      <c r="D50" s="58" t="inlineStr">
        <is>
          <t>Слайд 12</t>
        </is>
      </c>
      <c r="E50" s="58" t="inlineStr">
        <is>
          <t>Ноябрь 2026</t>
        </is>
      </c>
      <c r="F50" s="57" t="inlineStr">
        <is>
          <t>Маркетинг</t>
        </is>
      </c>
      <c r="G50" s="58" t="inlineStr">
        <is>
          <t>Не начато</t>
        </is>
      </c>
      <c r="H50" s="57" t="inlineStr"/>
    </row>
    <row r="51" ht="45" customHeight="1">
      <c r="A51" s="55" t="inlineStr">
        <is>
          <t>47</t>
        </is>
      </c>
      <c r="B51" s="56" t="inlineStr">
        <is>
          <t>ЭТАП 2 — Digital</t>
        </is>
      </c>
      <c r="C51" s="57" t="inlineStr">
        <is>
          <t>Инструмент 4: Работа с блогером / инфлюенсером в сфере ЛКМ</t>
        </is>
      </c>
      <c r="D51" s="58" t="inlineStr">
        <is>
          <t>Слайд 12</t>
        </is>
      </c>
      <c r="E51" s="58" t="inlineStr">
        <is>
          <t>Ноябрь 2026</t>
        </is>
      </c>
      <c r="F51" s="57" t="inlineStr">
        <is>
          <t>Маркетинг</t>
        </is>
      </c>
      <c r="G51" s="58" t="inlineStr">
        <is>
          <t>Не начато</t>
        </is>
      </c>
      <c r="H51" s="57" t="inlineStr"/>
    </row>
    <row r="52" ht="45" customHeight="1">
      <c r="A52" s="59" t="inlineStr">
        <is>
          <t>48</t>
        </is>
      </c>
      <c r="B52" s="60" t="inlineStr">
        <is>
          <t>KPI — Этап 1</t>
        </is>
      </c>
      <c r="C52" s="61" t="inlineStr">
        <is>
          <t>Объём закупок TITAN: +___% к базовому периоду (заполнить целевое значение)</t>
        </is>
      </c>
      <c r="D52" s="62" t="inlineStr">
        <is>
          <t>Слайд 7</t>
        </is>
      </c>
      <c r="E52" s="62" t="inlineStr">
        <is>
          <t>Ежемесячно</t>
        </is>
      </c>
      <c r="F52" s="61" t="inlineStr">
        <is>
          <t>Региональный менеджер</t>
        </is>
      </c>
      <c r="G52" s="62" t="inlineStr">
        <is>
          <t>Не начато</t>
        </is>
      </c>
      <c r="H52" s="61" t="inlineStr">
        <is>
          <t>Не заполнены целевые значения</t>
        </is>
      </c>
    </row>
    <row r="53" ht="45" customHeight="1">
      <c r="A53" s="59" t="inlineStr">
        <is>
          <t>49</t>
        </is>
      </c>
      <c r="B53" s="60" t="inlineStr">
        <is>
          <t>KPI — Этап 1</t>
        </is>
      </c>
      <c r="C53" s="61" t="inlineStr">
        <is>
          <t>Доля TITAN в ассортименте: не менее ___ цветов RAL в ___ категориях</t>
        </is>
      </c>
      <c r="D53" s="62" t="inlineStr">
        <is>
          <t>Слайд 7</t>
        </is>
      </c>
      <c r="E53" s="62" t="inlineStr">
        <is>
          <t>Ежеквартально</t>
        </is>
      </c>
      <c r="F53" s="61" t="inlineStr">
        <is>
          <t>Пустовалов С.И.</t>
        </is>
      </c>
      <c r="G53" s="62" t="inlineStr">
        <is>
          <t>Не начато</t>
        </is>
      </c>
      <c r="H53" s="61" t="inlineStr">
        <is>
          <t>Не заполнены целевые значения</t>
        </is>
      </c>
    </row>
    <row r="54" ht="45" customHeight="1">
      <c r="A54" s="59" t="inlineStr">
        <is>
          <t>50</t>
        </is>
      </c>
      <c r="B54" s="60" t="inlineStr">
        <is>
          <t>KPI — Этап 2</t>
        </is>
      </c>
      <c r="C54" s="61" t="inlineStr">
        <is>
          <t>Количество активных РТТ с TITAN: +___% к базовому периоду</t>
        </is>
      </c>
      <c r="D54" s="62" t="inlineStr">
        <is>
          <t>Слайд 7</t>
        </is>
      </c>
      <c r="E54" s="62" t="inlineStr">
        <is>
          <t>Ежемесячно</t>
        </is>
      </c>
      <c r="F54" s="61" t="inlineStr">
        <is>
          <t>Региональный менеджер</t>
        </is>
      </c>
      <c r="G54" s="62" t="inlineStr">
        <is>
          <t>Не начато</t>
        </is>
      </c>
      <c r="H54" s="61" t="inlineStr">
        <is>
          <t>Не заполнены целевые значения</t>
        </is>
      </c>
    </row>
    <row r="55" ht="45" customHeight="1">
      <c r="A55" s="59" t="inlineStr">
        <is>
          <t>51</t>
        </is>
      </c>
      <c r="B55" s="60" t="inlineStr">
        <is>
          <t>KPI — Этап 2</t>
        </is>
      </c>
      <c r="C55" s="61" t="inlineStr">
        <is>
          <t>Охват ТП обучением: ___% ТП дистрибьюторов (к 2-му месяцу)</t>
        </is>
      </c>
      <c r="D55" s="62" t="inlineStr">
        <is>
          <t>Слайд 7</t>
        </is>
      </c>
      <c r="E55" s="62" t="inlineStr">
        <is>
          <t>К 2-му месяцу</t>
        </is>
      </c>
      <c r="F55" s="61" t="inlineStr">
        <is>
          <t>Региональный менеджер</t>
        </is>
      </c>
      <c r="G55" s="62" t="inlineStr">
        <is>
          <t>Не начато</t>
        </is>
      </c>
      <c r="H55" s="61" t="inlineStr">
        <is>
          <t>Не заполнены целевые значения</t>
        </is>
      </c>
    </row>
    <row r="56" ht="45" customHeight="1">
      <c r="A56" s="59" t="inlineStr">
        <is>
          <t>52</t>
        </is>
      </c>
      <c r="B56" s="60" t="inlineStr">
        <is>
          <t>KPI — Этап 3</t>
        </is>
      </c>
      <c r="C56" s="61" t="inlineStr">
        <is>
          <t>Точки с POS-материалами: ___% точек с TITAN (к 3-му месяцу)</t>
        </is>
      </c>
      <c r="D56" s="62" t="inlineStr">
        <is>
          <t>Слайд 7</t>
        </is>
      </c>
      <c r="E56" s="62" t="inlineStr">
        <is>
          <t>К 3-му месяцу</t>
        </is>
      </c>
      <c r="F56" s="61" t="inlineStr">
        <is>
          <t>Региональный менеджер</t>
        </is>
      </c>
      <c r="G56" s="62" t="inlineStr">
        <is>
          <t>Не начато</t>
        </is>
      </c>
      <c r="H56" s="61" t="inlineStr">
        <is>
          <t>Не заполнены целевые значения</t>
        </is>
      </c>
    </row>
    <row r="57" ht="45" customHeight="1">
      <c r="A57" s="59" t="inlineStr">
        <is>
          <t>53</t>
        </is>
      </c>
      <c r="B57" s="60" t="inlineStr">
        <is>
          <t>KPI — Этап 3</t>
        </is>
      </c>
      <c r="C57" s="61" t="inlineStr">
        <is>
          <t>Сканирования QR-кода: ___ сканов/мес</t>
        </is>
      </c>
      <c r="D57" s="62" t="inlineStr">
        <is>
          <t>Слайд 7</t>
        </is>
      </c>
      <c r="E57" s="62" t="inlineStr">
        <is>
          <t>Ежемесячно</t>
        </is>
      </c>
      <c r="F57" s="61" t="inlineStr">
        <is>
          <t>Маркетинг</t>
        </is>
      </c>
      <c r="G57" s="62" t="inlineStr">
        <is>
          <t>Не начато</t>
        </is>
      </c>
      <c r="H57" s="61" t="inlineStr">
        <is>
          <t>QR-код ещё не размещён</t>
        </is>
      </c>
    </row>
    <row r="58" ht="45" customHeight="1">
      <c r="A58" s="63" t="inlineStr">
        <is>
          <t>54</t>
        </is>
      </c>
      <c r="B58" s="64" t="inlineStr">
        <is>
          <t>ПЛАН «Б»</t>
        </is>
      </c>
      <c r="C58" s="65" t="inlineStr">
        <is>
          <t>Определение уровня срабатывания (красный/жёлтый/зелёный) для каждого пилота</t>
        </is>
      </c>
      <c r="D58" s="66" t="inlineStr">
        <is>
          <t>Слайд 13</t>
        </is>
      </c>
      <c r="E58" s="66" t="inlineStr">
        <is>
          <t>Через 6 мес.</t>
        </is>
      </c>
      <c r="F58" s="65" t="inlineStr">
        <is>
          <t>Руководство</t>
        </is>
      </c>
      <c r="G58" s="66" t="inlineStr">
        <is>
          <t>Не начато</t>
        </is>
      </c>
      <c r="H58" s="65" t="inlineStr"/>
    </row>
    <row r="59" ht="45" customHeight="1">
      <c r="A59" s="63" t="inlineStr">
        <is>
          <t>55</t>
        </is>
      </c>
      <c r="B59" s="64" t="inlineStr">
        <is>
          <t>ПЛАН «Б»</t>
        </is>
      </c>
      <c r="C59" s="65" t="inlineStr">
        <is>
          <t>Инструмент 1: Дополнительное обучение — выезд тренера к ТП (отработка возражений)</t>
        </is>
      </c>
      <c r="D59" s="66" t="inlineStr">
        <is>
          <t>Слайд 13</t>
        </is>
      </c>
      <c r="E59" s="66" t="inlineStr">
        <is>
          <t>По срабатыванию</t>
        </is>
      </c>
      <c r="F59" s="65" t="inlineStr">
        <is>
          <t>Маркетинг</t>
        </is>
      </c>
      <c r="G59" s="66" t="inlineStr">
        <is>
          <t>Не начато</t>
        </is>
      </c>
      <c r="H59" s="65" t="inlineStr"/>
    </row>
    <row r="60" ht="45" customHeight="1">
      <c r="A60" s="63" t="inlineStr">
        <is>
          <t>56</t>
        </is>
      </c>
      <c r="B60" s="64" t="inlineStr">
        <is>
          <t>ПЛАН «Б»</t>
        </is>
      </c>
      <c r="C60" s="65" t="inlineStr">
        <is>
          <t>Инструмент 2: Корректировка ассортимента — замена медленных SKU</t>
        </is>
      </c>
      <c r="D60" s="66" t="inlineStr">
        <is>
          <t>Слайд 13</t>
        </is>
      </c>
      <c r="E60" s="66" t="inlineStr">
        <is>
          <t>Через 6 мес.</t>
        </is>
      </c>
      <c r="F60" s="65" t="inlineStr">
        <is>
          <t>Пустовалов С.И.</t>
        </is>
      </c>
      <c r="G60" s="66" t="inlineStr">
        <is>
          <t>Не начато</t>
        </is>
      </c>
      <c r="H60" s="65" t="inlineStr"/>
    </row>
    <row r="61" ht="45" customHeight="1">
      <c r="A61" s="63" t="inlineStr">
        <is>
          <t>57</t>
        </is>
      </c>
      <c r="B61" s="64" t="inlineStr">
        <is>
          <t>ПЛАН «Б»</t>
        </is>
      </c>
      <c r="C61" s="65" t="inlineStr">
        <is>
          <t>Инструмент 3: Дополнительные промо-акции — мотивация РТТ за банку</t>
        </is>
      </c>
      <c r="D61" s="66" t="inlineStr">
        <is>
          <t>Слайд 13</t>
        </is>
      </c>
      <c r="E61" s="66" t="inlineStr">
        <is>
          <t>По срабатыванию</t>
        </is>
      </c>
      <c r="F61" s="65" t="inlineStr">
        <is>
          <t>Маркетинг</t>
        </is>
      </c>
      <c r="G61" s="66" t="inlineStr">
        <is>
          <t>Не начато</t>
        </is>
      </c>
      <c r="H61" s="65" t="inlineStr"/>
    </row>
    <row r="62" ht="45" customHeight="1">
      <c r="A62" s="63" t="inlineStr">
        <is>
          <t>58</t>
        </is>
      </c>
      <c r="B62" s="64" t="inlineStr">
        <is>
          <t>ПЛАН «Б»</t>
        </is>
      </c>
      <c r="C62" s="65" t="inlineStr">
        <is>
          <t>Инструмент 4: Мастер-классы в топовых точках — выезд в 5-7 РТТ</t>
        </is>
      </c>
      <c r="D62" s="66" t="inlineStr">
        <is>
          <t>Слайд 13</t>
        </is>
      </c>
      <c r="E62" s="66" t="inlineStr">
        <is>
          <t>По срабатыванию</t>
        </is>
      </c>
      <c r="F62" s="65" t="inlineStr">
        <is>
          <t>Региональный менеджер</t>
        </is>
      </c>
      <c r="G62" s="66" t="inlineStr">
        <is>
          <t>Не начато</t>
        </is>
      </c>
      <c r="H62" s="65" t="inlineStr"/>
    </row>
    <row r="63" ht="45" customHeight="1">
      <c r="A63" s="63" t="inlineStr">
        <is>
          <t>59</t>
        </is>
      </c>
      <c r="B63" s="64" t="inlineStr">
        <is>
          <t>ПЛАН «Б»</t>
        </is>
      </c>
      <c r="C63" s="65" t="inlineStr">
        <is>
          <t>Инструмент 5: Личный куратор — еженедельные созвоны, визит 1 раз/мес</t>
        </is>
      </c>
      <c r="D63" s="66" t="inlineStr">
        <is>
          <t>Слайд 13</t>
        </is>
      </c>
      <c r="E63" s="66" t="inlineStr">
        <is>
          <t>По срабатыванию</t>
        </is>
      </c>
      <c r="F63" s="65" t="inlineStr">
        <is>
          <t>Руководство</t>
        </is>
      </c>
      <c r="G63" s="66" t="inlineStr">
        <is>
          <t>Не начато</t>
        </is>
      </c>
      <c r="H63" s="65" t="inlineStr"/>
    </row>
  </sheetData>
  <mergeCells count="2">
    <mergeCell ref="A2:H2"/>
    <mergeCell ref="A1:H1"/>
  </mergeCells>
  <conditionalFormatting sqref="G5:G63">
    <cfRule type="cellIs" priority="1" operator="equal" dxfId="0">
      <formula>"Выполнено"</formula>
    </cfRule>
    <cfRule type="cellIs" priority="2" operator="equal" dxfId="1">
      <formula>"В работе"</formula>
    </cfRule>
    <cfRule type="cellIs" priority="3" operator="equal" dxfId="2">
      <formula>"Не начато"</formula>
    </cfRule>
    <cfRule type="cellIs" priority="4" operator="equal" dxfId="3">
      <formula>"Не требуется"</formula>
    </cfRule>
    <cfRule type="cellIs" priority="5" operator="equal" dxfId="1">
      <formula>"Частично"</formula>
    </cfRule>
  </conditionalFormatting>
  <dataValidations count="1">
    <dataValidation sqref="G5:G63" showDropDown="0" showInputMessage="0" showErrorMessage="0" allowBlank="1" type="list">
      <formula1>"Выполнено,В работе,Не начато,Частично,Не требуется"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2" customWidth="1" min="4" max="4"/>
    <col width="16" customWidth="1" min="5" max="5"/>
    <col width="18" customWidth="1" min="6" max="6"/>
    <col width="14" customWidth="1" min="7" max="7"/>
    <col width="30" customWidth="1" min="8" max="8"/>
  </cols>
  <sheetData>
    <row r="1" ht="36" customHeight="1">
      <c r="A1" s="24" t="inlineStr">
        <is>
          <t>TITAN — Чек-лист: Сетевой канал</t>
        </is>
      </c>
    </row>
    <row r="2" ht="22" customHeight="1">
      <c r="A2" s="25" t="inlineStr">
        <is>
          <t>Аудит выполнения программы по презентации «Дорожная карта TITAN» от 20.08.2026 · Слайды 14-16</t>
        </is>
      </c>
    </row>
    <row r="4" ht="32" customHeight="1">
      <c r="A4" s="26" t="inlineStr">
        <is>
          <t>№</t>
        </is>
      </c>
      <c r="B4" s="26" t="inlineStr">
        <is>
          <t>Этап / Направление</t>
        </is>
      </c>
      <c r="C4" s="26" t="inlineStr">
        <is>
          <t>Задача</t>
        </is>
      </c>
      <c r="D4" s="26" t="inlineStr">
        <is>
          <t>Источник (слайд)</t>
        </is>
      </c>
      <c r="E4" s="26" t="inlineStr">
        <is>
          <t>Срок</t>
        </is>
      </c>
      <c r="F4" s="26" t="inlineStr">
        <is>
          <t>Ответственный</t>
        </is>
      </c>
      <c r="G4" s="26" t="inlineStr">
        <is>
          <t>Статус</t>
        </is>
      </c>
      <c r="H4" s="26" t="inlineStr">
        <is>
          <t>Комментарий</t>
        </is>
      </c>
    </row>
    <row r="5" ht="45" customHeight="1">
      <c r="A5" s="27" t="inlineStr">
        <is>
          <t>1</t>
        </is>
      </c>
      <c r="B5" s="28" t="inlineStr">
        <is>
          <t>ЛЕМАНА ПРО — активности</t>
        </is>
      </c>
      <c r="C5" s="29" t="inlineStr">
        <is>
          <t>Активность 1: РК TITAN на 6 топовых экранах Ростова-на-Дону (1 месяц)</t>
        </is>
      </c>
      <c r="D5" s="30" t="inlineStr">
        <is>
          <t>Слайд 15</t>
        </is>
      </c>
      <c r="E5" s="30" t="inlineStr">
        <is>
          <t>01.07.2026</t>
        </is>
      </c>
      <c r="F5" s="29" t="inlineStr">
        <is>
          <t>Литвиненко Н.</t>
        </is>
      </c>
      <c r="G5" s="30" t="inlineStr">
        <is>
          <t>Выполнено</t>
        </is>
      </c>
      <c r="H5" s="29" t="inlineStr">
        <is>
          <t>РК запущена</t>
        </is>
      </c>
    </row>
    <row r="6" ht="45" customHeight="1">
      <c r="A6" s="31" t="inlineStr">
        <is>
          <t>2</t>
        </is>
      </c>
      <c r="B6" s="32" t="inlineStr">
        <is>
          <t>ЛЕМАНА ПРО — активности</t>
        </is>
      </c>
      <c r="C6" s="33" t="inlineStr">
        <is>
          <t>Активность 2: Таргетированная реклама в VK по 11 ТТ (07.07-31.08)</t>
        </is>
      </c>
      <c r="D6" s="34" t="inlineStr">
        <is>
          <t>Слайд 15</t>
        </is>
      </c>
      <c r="E6" s="34" t="inlineStr">
        <is>
          <t>07.07-31.08</t>
        </is>
      </c>
      <c r="F6" s="33" t="inlineStr">
        <is>
          <t>Борисова Д.</t>
        </is>
      </c>
      <c r="G6" s="34" t="inlineStr">
        <is>
          <t>Выполнено</t>
        </is>
      </c>
      <c r="H6" s="33" t="inlineStr">
        <is>
          <t>РК проведена</t>
        </is>
      </c>
    </row>
    <row r="7" ht="45" customHeight="1">
      <c r="A7" s="27" t="inlineStr">
        <is>
          <t>3</t>
        </is>
      </c>
      <c r="B7" s="28" t="inlineStr">
        <is>
          <t>ЛЕМАНА ПРО — активности</t>
        </is>
      </c>
      <c r="C7" s="29" t="inlineStr">
        <is>
          <t>Активность 3: Промо «Подарок за покупку» — Ростов 17-18 июля, Краснодар 18-19 июля</t>
        </is>
      </c>
      <c r="D7" s="30" t="inlineStr">
        <is>
          <t>Слайд 15</t>
        </is>
      </c>
      <c r="E7" s="30" t="inlineStr">
        <is>
          <t>17-19 июля</t>
        </is>
      </c>
      <c r="F7" s="29" t="inlineStr">
        <is>
          <t>Литвиненко Н.</t>
        </is>
      </c>
      <c r="G7" s="30" t="inlineStr">
        <is>
          <t>Выполнено</t>
        </is>
      </c>
      <c r="H7" s="29" t="inlineStr">
        <is>
          <t>От 2000₽ — кисть+перчатки, от 4000₽ — сертификат 500₽</t>
        </is>
      </c>
    </row>
    <row r="8" ht="45" customHeight="1">
      <c r="A8" s="31" t="inlineStr">
        <is>
          <t>4</t>
        </is>
      </c>
      <c r="B8" s="32" t="inlineStr">
        <is>
          <t>ЛЕМАНА ПРО — активности</t>
        </is>
      </c>
      <c r="C8" s="33" t="inlineStr">
        <is>
          <t>Активность 4: Кешбэк 5% на TITAN во всех 11 ТТ (01.07-31.08)</t>
        </is>
      </c>
      <c r="D8" s="34" t="inlineStr">
        <is>
          <t>Слайд 15</t>
        </is>
      </c>
      <c r="E8" s="34" t="inlineStr">
        <is>
          <t>01.07-31.08</t>
        </is>
      </c>
      <c r="F8" s="33" t="inlineStr">
        <is>
          <t>Пустовалов С.И.</t>
        </is>
      </c>
      <c r="G8" s="34" t="inlineStr">
        <is>
          <t>Выполнено</t>
        </is>
      </c>
      <c r="H8" s="33" t="inlineStr">
        <is>
          <t>Запущен</t>
        </is>
      </c>
    </row>
    <row r="9" ht="45" customHeight="1">
      <c r="A9" s="27" t="inlineStr">
        <is>
          <t>5</t>
        </is>
      </c>
      <c r="B9" s="28" t="inlineStr">
        <is>
          <t>ЛЕМАНА ПРО — активности</t>
        </is>
      </c>
      <c r="C9" s="29" t="inlineStr">
        <is>
          <t>Активность 5: Мастер-классы в 3 ТТ Ростова (17 и 24 июля)</t>
        </is>
      </c>
      <c r="D9" s="30" t="inlineStr">
        <is>
          <t>Слайд 15</t>
        </is>
      </c>
      <c r="E9" s="30" t="inlineStr">
        <is>
          <t>17, 24 июля</t>
        </is>
      </c>
      <c r="F9" s="29" t="inlineStr">
        <is>
          <t>Эмпилс</t>
        </is>
      </c>
      <c r="G9" s="30" t="inlineStr">
        <is>
          <t>Выполнено</t>
        </is>
      </c>
      <c r="H9" s="29" t="inlineStr">
        <is>
          <t>Проведены</t>
        </is>
      </c>
    </row>
    <row r="10" ht="45" customHeight="1">
      <c r="A10" s="31" t="inlineStr">
        <is>
          <t>6</t>
        </is>
      </c>
      <c r="B10" s="32" t="inlineStr">
        <is>
          <t>ЛЕМАНА ПРО — активности</t>
        </is>
      </c>
      <c r="C10" s="33" t="inlineStr">
        <is>
          <t>Активность 6: Обеспечение 11 ТТ выкрасами EPL + TITAN</t>
        </is>
      </c>
      <c r="D10" s="34" t="inlineStr">
        <is>
          <t>Слайд 15</t>
        </is>
      </c>
      <c r="E10" s="34" t="inlineStr">
        <is>
          <t>До 16.07</t>
        </is>
      </c>
      <c r="F10" s="33" t="inlineStr">
        <is>
          <t>Литвиненко Н.</t>
        </is>
      </c>
      <c r="G10" s="34" t="inlineStr">
        <is>
          <t>Выполнено</t>
        </is>
      </c>
      <c r="H10" s="33" t="inlineStr">
        <is>
          <t>Распределены</t>
        </is>
      </c>
    </row>
    <row r="11" ht="45" customHeight="1">
      <c r="A11" s="27" t="inlineStr">
        <is>
          <t>7</t>
        </is>
      </c>
      <c r="B11" s="28" t="inlineStr">
        <is>
          <t>ЛЕМАНА ПРО — активности</t>
        </is>
      </c>
      <c r="C11" s="29" t="inlineStr">
        <is>
          <t>Активность 7: Веерные выкрасы B2B — 13 шт, изготовление + распределение</t>
        </is>
      </c>
      <c r="D11" s="30" t="inlineStr">
        <is>
          <t>Слайд 15</t>
        </is>
      </c>
      <c r="E11" s="30" t="inlineStr">
        <is>
          <t>До 22.07</t>
        </is>
      </c>
      <c r="F11" s="29" t="inlineStr">
        <is>
          <t>Литвиненко Н.</t>
        </is>
      </c>
      <c r="G11" s="30" t="inlineStr">
        <is>
          <t>Выполнено</t>
        </is>
      </c>
      <c r="H11" s="29" t="inlineStr">
        <is>
          <t>Распределены</t>
        </is>
      </c>
    </row>
    <row r="12" ht="45" customHeight="1">
      <c r="A12" s="31" t="inlineStr">
        <is>
          <t>8</t>
        </is>
      </c>
      <c r="B12" s="32" t="inlineStr">
        <is>
          <t>ЛЕМАНА ПРО — активности</t>
        </is>
      </c>
      <c r="C12" s="33" t="inlineStr">
        <is>
          <t>Активность 7 (доп): Скидка 20% — жёлтый ценник (01.08-31.08)</t>
        </is>
      </c>
      <c r="D12" s="34" t="inlineStr">
        <is>
          <t>Слайд 15</t>
        </is>
      </c>
      <c r="E12" s="34" t="inlineStr">
        <is>
          <t>01-31.08</t>
        </is>
      </c>
      <c r="F12" s="33" t="inlineStr">
        <is>
          <t>Пустовалов С.И.</t>
        </is>
      </c>
      <c r="G12" s="34" t="inlineStr">
        <is>
          <t>Выполнено</t>
        </is>
      </c>
      <c r="H12" s="33" t="inlineStr"/>
    </row>
    <row r="13" ht="45" customHeight="1">
      <c r="A13" s="27" t="inlineStr">
        <is>
          <t>9</t>
        </is>
      </c>
      <c r="B13" s="28" t="inlineStr">
        <is>
          <t>ЛЕМАНА ПРО — охват</t>
        </is>
      </c>
      <c r="C13" s="29" t="inlineStr">
        <is>
          <t>Подтверждение охвата: 11 ТТ Лемана Про в ЮФО (Ростов, Краснодар, Волгоград, и др.)</t>
        </is>
      </c>
      <c r="D13" s="30" t="inlineStr">
        <is>
          <t>Слайд 16</t>
        </is>
      </c>
      <c r="E13" s="30" t="inlineStr">
        <is>
          <t>Июль 2026</t>
        </is>
      </c>
      <c r="F13" s="29" t="inlineStr">
        <is>
          <t>Пустовалов С.И.</t>
        </is>
      </c>
      <c r="G13" s="30" t="inlineStr">
        <is>
          <t>Выполнено</t>
        </is>
      </c>
      <c r="H13" s="29" t="inlineStr">
        <is>
          <t>ОХВАЧЕНО 11 ТТ</t>
        </is>
      </c>
    </row>
    <row r="14" ht="45" customHeight="1">
      <c r="A14" s="31" t="inlineStr">
        <is>
          <t>10</t>
        </is>
      </c>
      <c r="B14" s="32" t="inlineStr">
        <is>
          <t>РАЗВИТИЕ — СЕТИ</t>
        </is>
      </c>
      <c r="C14" s="33" t="inlineStr">
        <is>
          <t>Лемана Про (112 ТТ, 66 городов): расширение с 11 ТТ на остальные регионы (ЦФО, СЗФО, ПФО, УрФО)</t>
        </is>
      </c>
      <c r="D14" s="34" t="inlineStr">
        <is>
          <t>Слайд 16</t>
        </is>
      </c>
      <c r="E14" s="34" t="inlineStr">
        <is>
          <t>2026-2027</t>
        </is>
      </c>
      <c r="F14" s="33" t="inlineStr">
        <is>
          <t>Пустовалов С.И.</t>
        </is>
      </c>
      <c r="G14" s="34" t="inlineStr">
        <is>
          <t>В работе</t>
        </is>
      </c>
      <c r="H14" s="33" t="inlineStr">
        <is>
          <t>ОХВАЧЕНО 12 ТТ</t>
        </is>
      </c>
    </row>
    <row r="15" ht="45" customHeight="1">
      <c r="A15" s="27" t="inlineStr">
        <is>
          <t>11</t>
        </is>
      </c>
      <c r="B15" s="28" t="inlineStr">
        <is>
          <t>РАЗВИТИЕ — СЕТИ</t>
        </is>
      </c>
      <c r="C15" s="29" t="inlineStr">
        <is>
          <t>Петрович (48 ТТ, СЗФО+ЦФО+УФО): план входа — 3-5 пилотных ТТ в СПБ и Москве</t>
        </is>
      </c>
      <c r="D15" s="30" t="inlineStr">
        <is>
          <t>Слайд 16</t>
        </is>
      </c>
      <c r="E15" s="30" t="inlineStr">
        <is>
          <t>2027</t>
        </is>
      </c>
      <c r="F15" s="29" t="inlineStr">
        <is>
          <t>Пустовалов С.И.</t>
        </is>
      </c>
      <c r="G15" s="30" t="inlineStr">
        <is>
          <t>Не начато</t>
        </is>
      </c>
      <c r="H15" s="29" t="inlineStr">
        <is>
          <t>ПЛАН ВХОДА 2027</t>
        </is>
      </c>
    </row>
    <row r="16" ht="45" customHeight="1">
      <c r="A16" s="31" t="inlineStr">
        <is>
          <t>12</t>
        </is>
      </c>
      <c r="B16" s="32" t="inlineStr">
        <is>
          <t>РАЗВИТИЕ — СЕТИ</t>
        </is>
      </c>
      <c r="C16" s="33" t="inlineStr">
        <is>
          <t>Максидом (29 ТТ, 12 регионов): пилот в СПБ и Екатеринбурге — 2-3 ТТ</t>
        </is>
      </c>
      <c r="D16" s="34" t="inlineStr">
        <is>
          <t>Слайд 16</t>
        </is>
      </c>
      <c r="E16" s="34" t="inlineStr">
        <is>
          <t>2027</t>
        </is>
      </c>
      <c r="F16" s="33" t="inlineStr">
        <is>
          <t>Пустовалов С.И.</t>
        </is>
      </c>
      <c r="G16" s="34" t="inlineStr">
        <is>
          <t>Не начато</t>
        </is>
      </c>
      <c r="H16" s="33" t="inlineStr">
        <is>
          <t>ПЛАН ВХОДА</t>
        </is>
      </c>
    </row>
    <row r="17" ht="45" customHeight="1">
      <c r="A17" s="27" t="inlineStr">
        <is>
          <t>13</t>
        </is>
      </c>
      <c r="B17" s="28" t="inlineStr">
        <is>
          <t>РАЗВИТИЕ — СЕТИ</t>
        </is>
      </c>
      <c r="C17" s="29" t="inlineStr">
        <is>
          <t>OBI (27 ТТ, 12-14 городов): вход через 2 пилотных ТТ в Москве</t>
        </is>
      </c>
      <c r="D17" s="30" t="inlineStr">
        <is>
          <t>Слайд 16</t>
        </is>
      </c>
      <c r="E17" s="30" t="inlineStr">
        <is>
          <t>2027</t>
        </is>
      </c>
      <c r="F17" s="29" t="inlineStr">
        <is>
          <t>Пустовалов С.И.</t>
        </is>
      </c>
      <c r="G17" s="30" t="inlineStr">
        <is>
          <t>Не начато</t>
        </is>
      </c>
      <c r="H17" s="29" t="inlineStr">
        <is>
          <t>ПЛАН ВХОДА</t>
        </is>
      </c>
    </row>
    <row r="18" ht="45" customHeight="1">
      <c r="A18" s="31" t="inlineStr">
        <is>
          <t>14</t>
        </is>
      </c>
      <c r="B18" s="32" t="inlineStr">
        <is>
          <t>РАЗВИТИЕ — СЕТИ</t>
        </is>
      </c>
      <c r="C18" s="33" t="inlineStr">
        <is>
          <t>Мегаполис (8 ТТ, Калининградская обл.): пилот — 2-3 ТТ</t>
        </is>
      </c>
      <c r="D18" s="34" t="inlineStr">
        <is>
          <t>Слайд 16</t>
        </is>
      </c>
      <c r="E18" s="34" t="inlineStr">
        <is>
          <t>2027</t>
        </is>
      </c>
      <c r="F18" s="33" t="inlineStr">
        <is>
          <t>Пустовалов С.И.</t>
        </is>
      </c>
      <c r="G18" s="34" t="inlineStr">
        <is>
          <t>Не начато</t>
        </is>
      </c>
      <c r="H18" s="33" t="inlineStr">
        <is>
          <t>ПЛАН ВХОДА</t>
        </is>
      </c>
    </row>
    <row r="19" ht="45" customHeight="1">
      <c r="A19" s="27" t="inlineStr">
        <is>
          <t>15</t>
        </is>
      </c>
      <c r="B19" s="28" t="inlineStr">
        <is>
          <t>РЕГИОНАЛЬНЫЕ СЕТИ</t>
        </is>
      </c>
      <c r="C19" s="29" t="inlineStr">
        <is>
          <t>Усиление в сети «ВАШ ДОМ» (ЮФО)</t>
        </is>
      </c>
      <c r="D19" s="30" t="inlineStr">
        <is>
          <t>Слайд 16</t>
        </is>
      </c>
      <c r="E19" s="30" t="inlineStr">
        <is>
          <t>2026-2027</t>
        </is>
      </c>
      <c r="F19" s="29" t="inlineStr">
        <is>
          <t>Меликсетьян С.З.</t>
        </is>
      </c>
      <c r="G19" s="30" t="inlineStr">
        <is>
          <t>В работе</t>
        </is>
      </c>
      <c r="H19" s="29" t="inlineStr">
        <is>
          <t>ОХВАЧЕНО 6 ТТ</t>
        </is>
      </c>
    </row>
    <row r="20" ht="45" customHeight="1">
      <c r="A20" s="35" t="inlineStr">
        <is>
          <t>16</t>
        </is>
      </c>
      <c r="B20" s="36" t="inlineStr">
        <is>
          <t>MML — СЕТИ</t>
        </is>
      </c>
      <c r="C20" s="37" t="inlineStr">
        <is>
          <t>Утверждение MML класса A: 16 → 21 SKU для федеральных DIY</t>
        </is>
      </c>
      <c r="D20" s="38" t="inlineStr">
        <is>
          <t>Слайд 3</t>
        </is>
      </c>
      <c r="E20" s="38" t="inlineStr">
        <is>
          <t>Сентябрь 2026</t>
        </is>
      </c>
      <c r="F20" s="37" t="inlineStr">
        <is>
          <t>Пустовалов С.И.</t>
        </is>
      </c>
      <c r="G20" s="38" t="inlineStr">
        <is>
          <t>В работе</t>
        </is>
      </c>
      <c r="H20" s="37" t="inlineStr"/>
    </row>
    <row r="21" ht="45" customHeight="1">
      <c r="A21" s="35" t="inlineStr">
        <is>
          <t>17</t>
        </is>
      </c>
      <c r="B21" s="36" t="inlineStr">
        <is>
          <t>MML — СЕТИ</t>
        </is>
      </c>
      <c r="C21" s="37" t="inlineStr">
        <is>
          <t>Утверждение MML класса B: 12 → 16 SKU для локальных сетей</t>
        </is>
      </c>
      <c r="D21" s="38" t="inlineStr">
        <is>
          <t>Слайд 3</t>
        </is>
      </c>
      <c r="E21" s="38" t="inlineStr">
        <is>
          <t>Сентябрь 2026</t>
        </is>
      </c>
      <c r="F21" s="37" t="inlineStr">
        <is>
          <t>Пустовалов С.И.</t>
        </is>
      </c>
      <c r="G21" s="38" t="inlineStr">
        <is>
          <t>В работе</t>
        </is>
      </c>
      <c r="H21" s="37" t="inlineStr"/>
    </row>
    <row r="22" ht="45" customHeight="1">
      <c r="A22" s="35" t="inlineStr">
        <is>
          <t>18</t>
        </is>
      </c>
      <c r="B22" s="36" t="inlineStr">
        <is>
          <t>MML — СЕТИ</t>
        </is>
      </c>
      <c r="C22" s="37" t="inlineStr">
        <is>
          <t>Утверждение MML класса C: 2 → 4 SKU для супермаркетов</t>
        </is>
      </c>
      <c r="D22" s="38" t="inlineStr">
        <is>
          <t>Слайд 3</t>
        </is>
      </c>
      <c r="E22" s="38" t="inlineStr">
        <is>
          <t>Сентябрь 2026</t>
        </is>
      </c>
      <c r="F22" s="37" t="inlineStr">
        <is>
          <t>Пустовалов С.И.</t>
        </is>
      </c>
      <c r="G22" s="38" t="inlineStr">
        <is>
          <t>В работе</t>
        </is>
      </c>
      <c r="H22" s="37" t="inlineStr"/>
    </row>
    <row r="23" ht="45" customHeight="1">
      <c r="A23" s="27" t="inlineStr">
        <is>
          <t>19</t>
        </is>
      </c>
      <c r="B23" s="28" t="inlineStr">
        <is>
          <t>DIGITAL — СЕТИ</t>
        </is>
      </c>
      <c r="C23" s="29" t="inlineStr">
        <is>
          <t>Яндекс.Директ по геолокации ТТ сети (30 000 ₽/мес на регион)</t>
        </is>
      </c>
      <c r="D23" s="30" t="inlineStr">
        <is>
          <t>Слайд 12</t>
        </is>
      </c>
      <c r="E23" s="30" t="inlineStr">
        <is>
          <t>Постоянно</t>
        </is>
      </c>
      <c r="F23" s="29" t="inlineStr">
        <is>
          <t>Борисова Д.</t>
        </is>
      </c>
      <c r="G23" s="30" t="inlineStr">
        <is>
          <t>В работе</t>
        </is>
      </c>
      <c r="H23" s="29" t="inlineStr"/>
    </row>
    <row r="24" ht="45" customHeight="1">
      <c r="A24" s="31" t="inlineStr">
        <is>
          <t>20</t>
        </is>
      </c>
      <c r="B24" s="32" t="inlineStr">
        <is>
          <t>DIGITAL — СЕТИ</t>
        </is>
      </c>
      <c r="C24" s="33" t="inlineStr">
        <is>
          <t>VK геотаргетинг по ТТ (25 000 ₽/мес на регион)</t>
        </is>
      </c>
      <c r="D24" s="34" t="inlineStr">
        <is>
          <t>Слайд 12</t>
        </is>
      </c>
      <c r="E24" s="34" t="inlineStr">
        <is>
          <t>Постоянно</t>
        </is>
      </c>
      <c r="F24" s="33" t="inlineStr">
        <is>
          <t>Борисова Д.</t>
        </is>
      </c>
      <c r="G24" s="34" t="inlineStr">
        <is>
          <t>В работе</t>
        </is>
      </c>
      <c r="H24" s="33" t="inlineStr"/>
    </row>
    <row r="25" ht="45" customHeight="1">
      <c r="A25" s="27" t="inlineStr">
        <is>
          <t>21</t>
        </is>
      </c>
      <c r="B25" s="28" t="inlineStr">
        <is>
          <t>DIGITAL — СЕТИ</t>
        </is>
      </c>
      <c r="C25" s="29" t="inlineStr">
        <is>
          <t>RuTube пре-роллы (40 000 ₽/мес)</t>
        </is>
      </c>
      <c r="D25" s="30" t="inlineStr">
        <is>
          <t>Слайд 12</t>
        </is>
      </c>
      <c r="E25" s="30" t="inlineStr">
        <is>
          <t>Ноябрь 2026</t>
        </is>
      </c>
      <c r="F25" s="29" t="inlineStr">
        <is>
          <t>Маркетинг</t>
        </is>
      </c>
      <c r="G25" s="30" t="inlineStr">
        <is>
          <t>Не начато</t>
        </is>
      </c>
      <c r="H25" s="29" t="inlineStr"/>
    </row>
    <row r="26" ht="45" customHeight="1">
      <c r="A26" s="31" t="inlineStr">
        <is>
          <t>22</t>
        </is>
      </c>
      <c r="B26" s="32" t="inlineStr">
        <is>
          <t>DIGITAL — СЕТИ</t>
        </is>
      </c>
      <c r="C26" s="33" t="inlineStr">
        <is>
          <t>Экстремальный тест 365 — онлайн-камера на titanpaints.ru</t>
        </is>
      </c>
      <c r="D26" s="34" t="inlineStr">
        <is>
          <t>Слайд 12</t>
        </is>
      </c>
      <c r="E26" s="34" t="inlineStr">
        <is>
          <t>Запущен</t>
        </is>
      </c>
      <c r="F26" s="33" t="inlineStr">
        <is>
          <t>Маркетинг</t>
        </is>
      </c>
      <c r="G26" s="34" t="inlineStr">
        <is>
          <t>В работе</t>
        </is>
      </c>
      <c r="H26" s="33" t="inlineStr"/>
    </row>
  </sheetData>
  <mergeCells count="2">
    <mergeCell ref="A2:H2"/>
    <mergeCell ref="A1:H1"/>
  </mergeCells>
  <conditionalFormatting sqref="G5:G26">
    <cfRule type="cellIs" priority="1" operator="equal" dxfId="0">
      <formula>"Выполнено"</formula>
    </cfRule>
    <cfRule type="cellIs" priority="2" operator="equal" dxfId="1">
      <formula>"В работе"</formula>
    </cfRule>
    <cfRule type="cellIs" priority="3" operator="equal" dxfId="2">
      <formula>"Не начато"</formula>
    </cfRule>
    <cfRule type="cellIs" priority="4" operator="equal" dxfId="3">
      <formula>"Не требуется"</formula>
    </cfRule>
    <cfRule type="cellIs" priority="5" operator="equal" dxfId="1">
      <formula>"Частично"</formula>
    </cfRule>
  </conditionalFormatting>
  <dataValidations count="1">
    <dataValidation sqref="G5:G26" showDropDown="0" showInputMessage="0" showErrorMessage="0" allowBlank="1" type="list">
      <formula1>"Выполнено,В работе,Не начато,Частично,Не требуется"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2" customWidth="1" min="4" max="4"/>
    <col width="16" customWidth="1" min="5" max="5"/>
    <col width="18" customWidth="1" min="6" max="6"/>
    <col width="14" customWidth="1" min="7" max="7"/>
    <col width="30" customWidth="1" min="8" max="8"/>
  </cols>
  <sheetData>
    <row r="1" ht="36" customHeight="1">
      <c r="A1" s="24" t="inlineStr">
        <is>
          <t>TITAN — Чек-лист: B2B канал</t>
        </is>
      </c>
    </row>
    <row r="2" ht="22" customHeight="1">
      <c r="A2" s="25" t="inlineStr">
        <is>
          <t>Аудит выполнения программы по презентации «Дорожная карта TITAN» от 20.08.2026 · Слайды 17-18</t>
        </is>
      </c>
    </row>
    <row r="4" ht="32" customHeight="1">
      <c r="A4" s="26" t="inlineStr">
        <is>
          <t>№</t>
        </is>
      </c>
      <c r="B4" s="26" t="inlineStr">
        <is>
          <t>Этап / Направление</t>
        </is>
      </c>
      <c r="C4" s="26" t="inlineStr">
        <is>
          <t>Задача</t>
        </is>
      </c>
      <c r="D4" s="26" t="inlineStr">
        <is>
          <t>Источник (слайд)</t>
        </is>
      </c>
      <c r="E4" s="26" t="inlineStr">
        <is>
          <t>Срок</t>
        </is>
      </c>
      <c r="F4" s="26" t="inlineStr">
        <is>
          <t>Ответственный</t>
        </is>
      </c>
      <c r="G4" s="26" t="inlineStr">
        <is>
          <t>Статус</t>
        </is>
      </c>
      <c r="H4" s="26" t="inlineStr">
        <is>
          <t>Комментарий</t>
        </is>
      </c>
    </row>
    <row r="5" ht="45" customHeight="1">
      <c r="A5" s="27" t="inlineStr">
        <is>
          <t>1</t>
        </is>
      </c>
      <c r="B5" s="28" t="inlineStr">
        <is>
          <t>B2B — Инструменты</t>
        </is>
      </c>
      <c r="C5" s="29" t="inlineStr">
        <is>
          <t>Инструмент 01 (Мотивация): Расчёт маржинальности B2B-канала для дистрибьютора</t>
        </is>
      </c>
      <c r="D5" s="30" t="inlineStr">
        <is>
          <t>Слайд 18</t>
        </is>
      </c>
      <c r="E5" s="30" t="inlineStr">
        <is>
          <t>Сентябрь 2026</t>
        </is>
      </c>
      <c r="F5" s="29" t="inlineStr">
        <is>
          <t>Маркетинг</t>
        </is>
      </c>
      <c r="G5" s="30" t="inlineStr">
        <is>
          <t>В работе</t>
        </is>
      </c>
      <c r="H5" s="29" t="inlineStr"/>
    </row>
    <row r="6" ht="45" customHeight="1">
      <c r="A6" s="31" t="inlineStr">
        <is>
          <t>2</t>
        </is>
      </c>
      <c r="B6" s="32" t="inlineStr">
        <is>
          <t>B2B — Инструменты</t>
        </is>
      </c>
      <c r="C6" s="33" t="inlineStr">
        <is>
          <t>Инструмент 02 (Тест-образец): Пробник TITAN 0,4 л (глянец) + веерные железные выкрасы</t>
        </is>
      </c>
      <c r="D6" s="34" t="inlineStr">
        <is>
          <t>Слайд 18</t>
        </is>
      </c>
      <c r="E6" s="34" t="inlineStr">
        <is>
          <t>Сентябрь 2026</t>
        </is>
      </c>
      <c r="F6" s="33" t="inlineStr">
        <is>
          <t>Литвиненко Н.</t>
        </is>
      </c>
      <c r="G6" s="34" t="inlineStr">
        <is>
          <t>В работе</t>
        </is>
      </c>
      <c r="H6" s="33" t="inlineStr"/>
    </row>
    <row r="7" ht="45" customHeight="1">
      <c r="A7" s="27" t="inlineStr">
        <is>
          <t>3</t>
        </is>
      </c>
      <c r="B7" s="28" t="inlineStr">
        <is>
          <t>B2B — Инструменты</t>
        </is>
      </c>
      <c r="C7" s="29" t="inlineStr">
        <is>
          <t>Инструмент 03 (Листовка B2B): Отдельная листовка с расчётом ССВ для B2B-клиента (10 лет vs ПФ-115)</t>
        </is>
      </c>
      <c r="D7" s="30" t="inlineStr">
        <is>
          <t>Слайд 18</t>
        </is>
      </c>
      <c r="E7" s="30" t="inlineStr">
        <is>
          <t>Октябрь 2026</t>
        </is>
      </c>
      <c r="F7" s="29" t="inlineStr">
        <is>
          <t>Маркетинг</t>
        </is>
      </c>
      <c r="G7" s="30" t="inlineStr">
        <is>
          <t>В работе</t>
        </is>
      </c>
      <c r="H7" s="29" t="inlineStr"/>
    </row>
    <row r="8" ht="45" customHeight="1">
      <c r="A8" s="31" t="inlineStr">
        <is>
          <t>4</t>
        </is>
      </c>
      <c r="B8" s="32" t="inlineStr">
        <is>
          <t>B2B — Инструменты</t>
        </is>
      </c>
      <c r="C8" s="33" t="inlineStr">
        <is>
          <t>Инструмент 04 (Маржа): Расчёт маржинальности по фасовкам — смещение к 8,5 л / 10 кг</t>
        </is>
      </c>
      <c r="D8" s="34" t="inlineStr">
        <is>
          <t>Слайд 18</t>
        </is>
      </c>
      <c r="E8" s="34" t="inlineStr">
        <is>
          <t>Октябрь 2026</t>
        </is>
      </c>
      <c r="F8" s="33" t="inlineStr">
        <is>
          <t>Маркетинг</t>
        </is>
      </c>
      <c r="G8" s="34" t="inlineStr">
        <is>
          <t>В работе</t>
        </is>
      </c>
      <c r="H8" s="33" t="inlineStr"/>
    </row>
    <row r="9" ht="45" customHeight="1">
      <c r="A9" s="27" t="inlineStr">
        <is>
          <t>5</t>
        </is>
      </c>
      <c r="B9" s="28" t="inlineStr">
        <is>
          <t>B2B — Инструменты</t>
        </is>
      </c>
      <c r="C9" s="29" t="inlineStr">
        <is>
          <t>Инструмент 05 (Инфлюенсер): Выявление регионального B2B-инфлюенсера (металлоконструкции, цех)</t>
        </is>
      </c>
      <c r="D9" s="30" t="inlineStr">
        <is>
          <t>Слайд 18</t>
        </is>
      </c>
      <c r="E9" s="30" t="inlineStr">
        <is>
          <t>Ноябрь 2026</t>
        </is>
      </c>
      <c r="F9" s="29" t="inlineStr">
        <is>
          <t>Региональный менеджер</t>
        </is>
      </c>
      <c r="G9" s="30" t="inlineStr">
        <is>
          <t>Не начато</t>
        </is>
      </c>
      <c r="H9" s="29" t="inlineStr"/>
    </row>
    <row r="10" ht="45" customHeight="1">
      <c r="A10" s="31" t="inlineStr">
        <is>
          <t>6</t>
        </is>
      </c>
      <c r="B10" s="32" t="inlineStr">
        <is>
          <t>B2B — Инструменты</t>
        </is>
      </c>
      <c r="C10" s="33" t="inlineStr">
        <is>
          <t>Инструмент 06 (Портфолио): Портфолио B2B-объектов с экономическими параметрами</t>
        </is>
      </c>
      <c r="D10" s="34" t="inlineStr">
        <is>
          <t>Слайд 18</t>
        </is>
      </c>
      <c r="E10" s="34" t="inlineStr">
        <is>
          <t>Ноябрь 2026</t>
        </is>
      </c>
      <c r="F10" s="33" t="inlineStr">
        <is>
          <t>Маркетинг</t>
        </is>
      </c>
      <c r="G10" s="34" t="inlineStr">
        <is>
          <t>В работе</t>
        </is>
      </c>
      <c r="H10" s="33" t="inlineStr"/>
    </row>
    <row r="11" ht="45" customHeight="1">
      <c r="A11" s="27" t="inlineStr">
        <is>
          <t>7</t>
        </is>
      </c>
      <c r="B11" s="28" t="inlineStr">
        <is>
          <t>B2B — Цели</t>
        </is>
      </c>
      <c r="C11" s="29" t="inlineStr">
        <is>
          <t>Цель: 50 РТТ в B2B-сегменте (из 1000 РТТ общего плана)</t>
        </is>
      </c>
      <c r="D11" s="30" t="inlineStr">
        <is>
          <t>Слайд 2</t>
        </is>
      </c>
      <c r="E11" s="30" t="inlineStr">
        <is>
          <t>2026-2027</t>
        </is>
      </c>
      <c r="F11" s="29" t="inlineStr">
        <is>
          <t>Руководство</t>
        </is>
      </c>
      <c r="G11" s="30" t="inlineStr">
        <is>
          <t>В работе</t>
        </is>
      </c>
      <c r="H11" s="29" t="inlineStr"/>
    </row>
    <row r="12" ht="45" customHeight="1">
      <c r="A12" s="31" t="inlineStr">
        <is>
          <t>8</t>
        </is>
      </c>
      <c r="B12" s="32" t="inlineStr">
        <is>
          <t>B2B — Цели</t>
        </is>
      </c>
      <c r="C12" s="33" t="inlineStr">
        <is>
          <t>Цель: 100 тонн TITAN в B2B-сегменте (из 1000 т общего плана)</t>
        </is>
      </c>
      <c r="D12" s="34" t="inlineStr">
        <is>
          <t>Слайд 2</t>
        </is>
      </c>
      <c r="E12" s="34" t="inlineStr">
        <is>
          <t>2026-2027</t>
        </is>
      </c>
      <c r="F12" s="33" t="inlineStr">
        <is>
          <t>Руководство</t>
        </is>
      </c>
      <c r="G12" s="34" t="inlineStr">
        <is>
          <t>В работе</t>
        </is>
      </c>
      <c r="H12" s="33" t="inlineStr"/>
    </row>
    <row r="13" ht="45" customHeight="1">
      <c r="A13" s="27" t="inlineStr">
        <is>
          <t>9</t>
        </is>
      </c>
      <c r="B13" s="28" t="inlineStr">
        <is>
          <t>B2B — Цели</t>
        </is>
      </c>
      <c r="C13" s="29" t="inlineStr">
        <is>
          <t>Цель: доля 80% АКБ TITAN в точках B, C, D от общей АКБ</t>
        </is>
      </c>
      <c r="D13" s="30" t="inlineStr">
        <is>
          <t>Слайд 2</t>
        </is>
      </c>
      <c r="E13" s="30" t="inlineStr">
        <is>
          <t>2027</t>
        </is>
      </c>
      <c r="F13" s="29" t="inlineStr">
        <is>
          <t>Руководство</t>
        </is>
      </c>
      <c r="G13" s="30" t="inlineStr">
        <is>
          <t>В работе</t>
        </is>
      </c>
      <c r="H13" s="29" t="inlineStr"/>
    </row>
    <row r="14" ht="45" customHeight="1">
      <c r="A14" s="31" t="inlineStr">
        <is>
          <t>10</t>
        </is>
      </c>
      <c r="B14" s="32" t="inlineStr">
        <is>
          <t>B2B — Объекты</t>
        </is>
      </c>
      <c r="C14" s="33" t="inlineStr">
        <is>
          <t>Расчёт ССВ для ворот (грунт-эмаль 3в1) — экономия 2,6× за 10 лет</t>
        </is>
      </c>
      <c r="D14" s="34" t="inlineStr">
        <is>
          <t>Слайд 18</t>
        </is>
      </c>
      <c r="E14" s="34" t="inlineStr">
        <is>
          <t>Октябрь 2026</t>
        </is>
      </c>
      <c r="F14" s="33" t="inlineStr">
        <is>
          <t>Маркетинг</t>
        </is>
      </c>
      <c r="G14" s="34" t="inlineStr">
        <is>
          <t>В работе</t>
        </is>
      </c>
      <c r="H14" s="33" t="inlineStr"/>
    </row>
    <row r="15" ht="45" customHeight="1">
      <c r="A15" s="27" t="inlineStr">
        <is>
          <t>11</t>
        </is>
      </c>
      <c r="B15" s="28" t="inlineStr">
        <is>
          <t>B2B — Объекты</t>
        </is>
      </c>
      <c r="C15" s="29" t="inlineStr">
        <is>
          <t>Расчёт ССВ для двери металлической (быстросохнущая) — экономия 2,1×</t>
        </is>
      </c>
      <c r="D15" s="30" t="inlineStr">
        <is>
          <t>Слайд 18</t>
        </is>
      </c>
      <c r="E15" s="30" t="inlineStr">
        <is>
          <t>Октябрь 2026</t>
        </is>
      </c>
      <c r="F15" s="29" t="inlineStr">
        <is>
          <t>Маркетинг</t>
        </is>
      </c>
      <c r="G15" s="30" t="inlineStr">
        <is>
          <t>В работе</t>
        </is>
      </c>
      <c r="H15" s="29" t="inlineStr"/>
    </row>
    <row r="16" ht="45" customHeight="1">
      <c r="A16" s="31" t="inlineStr">
        <is>
          <t>12</t>
        </is>
      </c>
      <c r="B16" s="32" t="inlineStr">
        <is>
          <t>B2B — Объекты</t>
        </is>
      </c>
      <c r="C16" s="33" t="inlineStr">
        <is>
          <t>Расчёт ССВ для гаража (грунт-эмаль 3в1) — экономия 2,6×</t>
        </is>
      </c>
      <c r="D16" s="34" t="inlineStr">
        <is>
          <t>Слайд 18</t>
        </is>
      </c>
      <c r="E16" s="34" t="inlineStr">
        <is>
          <t>Октябрь 2026</t>
        </is>
      </c>
      <c r="F16" s="33" t="inlineStr">
        <is>
          <t>Маркетинг</t>
        </is>
      </c>
      <c r="G16" s="34" t="inlineStr">
        <is>
          <t>В работе</t>
        </is>
      </c>
      <c r="H16" s="33" t="inlineStr"/>
    </row>
    <row r="17" ht="45" customHeight="1">
      <c r="A17" s="27" t="inlineStr">
        <is>
          <t>13</t>
        </is>
      </c>
      <c r="B17" s="28" t="inlineStr">
        <is>
          <t>B2B — Выкрасы</t>
        </is>
      </c>
      <c r="C17" s="29" t="inlineStr">
        <is>
          <t>Веерные выкрасы B2B для Лемана ПРО — 13 шт (изготовление + распределение)</t>
        </is>
      </c>
      <c r="D17" s="30" t="inlineStr">
        <is>
          <t>Слайд 15</t>
        </is>
      </c>
      <c r="E17" s="30" t="inlineStr">
        <is>
          <t>До 22.07</t>
        </is>
      </c>
      <c r="F17" s="29" t="inlineStr">
        <is>
          <t>Литвиненко Н.</t>
        </is>
      </c>
      <c r="G17" s="30" t="inlineStr">
        <is>
          <t>Выполнено</t>
        </is>
      </c>
      <c r="H17" s="29" t="inlineStr"/>
    </row>
    <row r="18" ht="45" customHeight="1">
      <c r="A18" s="31" t="inlineStr">
        <is>
          <t>14</t>
        </is>
      </c>
      <c r="B18" s="32" t="inlineStr">
        <is>
          <t>B2B — Калькулятор</t>
        </is>
      </c>
      <c r="C18" s="33" t="inlineStr">
        <is>
          <t>Excel-калькулятор маржинальности: ввод объёма + фасовки → расчёт прибыли по B2B</t>
        </is>
      </c>
      <c r="D18" s="34" t="inlineStr">
        <is>
          <t>Слайд 18</t>
        </is>
      </c>
      <c r="E18" s="34" t="inlineStr">
        <is>
          <t>Октябрь 2026</t>
        </is>
      </c>
      <c r="F18" s="33" t="inlineStr">
        <is>
          <t>Маркетинг</t>
        </is>
      </c>
      <c r="G18" s="34" t="inlineStr">
        <is>
          <t>В работе</t>
        </is>
      </c>
      <c r="H18" s="33" t="inlineStr"/>
    </row>
    <row r="19" ht="45" customHeight="1">
      <c r="A19" s="27" t="inlineStr">
        <is>
          <t>15</t>
        </is>
      </c>
      <c r="B19" s="28" t="inlineStr">
        <is>
          <t>B2B — Контакт</t>
        </is>
      </c>
      <c r="C19" s="29" t="inlineStr">
        <is>
          <t>Прямой контакт Эмпилс с B2B-клиентом: техэкспертиза, демо на объекте, расчёт ССВ</t>
        </is>
      </c>
      <c r="D19" s="30" t="inlineStr">
        <is>
          <t>Слайд 18</t>
        </is>
      </c>
      <c r="E19" s="30" t="inlineStr">
        <is>
          <t>Постоянно</t>
        </is>
      </c>
      <c r="F19" s="29" t="inlineStr">
        <is>
          <t>Региональный менеджер</t>
        </is>
      </c>
      <c r="G19" s="30" t="inlineStr">
        <is>
          <t>В работе</t>
        </is>
      </c>
      <c r="H19" s="29" t="inlineStr"/>
    </row>
    <row r="20" ht="45" customHeight="1">
      <c r="A20" s="31" t="inlineStr">
        <is>
          <t>16</t>
        </is>
      </c>
      <c r="B20" s="32" t="inlineStr">
        <is>
          <t>B2B — Видеоотзыв</t>
        </is>
      </c>
      <c r="C20" s="33" t="inlineStr">
        <is>
          <t>Съёмка видеоотзыва B2B-производителя металлоконструкций (беседки и т.д.)</t>
        </is>
      </c>
      <c r="D20" s="34" t="inlineStr">
        <is>
          <t>Слайд 12</t>
        </is>
      </c>
      <c r="E20" s="34" t="inlineStr">
        <is>
          <t>Ноябрь 2026</t>
        </is>
      </c>
      <c r="F20" s="33" t="inlineStr">
        <is>
          <t>Маркетинг</t>
        </is>
      </c>
      <c r="G20" s="34" t="inlineStr">
        <is>
          <t>Не начато</t>
        </is>
      </c>
      <c r="H20" s="33" t="inlineStr"/>
    </row>
    <row r="21" ht="45" customHeight="1">
      <c r="A21" s="27" t="inlineStr">
        <is>
          <t>17</t>
        </is>
      </c>
      <c r="B21" s="28" t="inlineStr">
        <is>
          <t>B2B — Обучение</t>
        </is>
      </c>
      <c r="C21" s="29" t="inlineStr">
        <is>
          <t>Обучение ТП по работе с B2B-клиентами: скрипт продажи + расчёт ССВ</t>
        </is>
      </c>
      <c r="D21" s="30" t="inlineStr">
        <is>
          <t>Слайд 5</t>
        </is>
      </c>
      <c r="E21" s="30" t="inlineStr">
        <is>
          <t>Ноябрь 2026</t>
        </is>
      </c>
      <c r="F21" s="29" t="inlineStr">
        <is>
          <t>Маркетинг</t>
        </is>
      </c>
      <c r="G21" s="30" t="inlineStr">
        <is>
          <t>Не начало</t>
        </is>
      </c>
      <c r="H21" s="29" t="inlineStr"/>
    </row>
  </sheetData>
  <mergeCells count="2">
    <mergeCell ref="A2:H2"/>
    <mergeCell ref="A1:H1"/>
  </mergeCells>
  <conditionalFormatting sqref="G5:G21">
    <cfRule type="cellIs" priority="1" operator="equal" dxfId="0">
      <formula>"Выполнено"</formula>
    </cfRule>
    <cfRule type="cellIs" priority="2" operator="equal" dxfId="1">
      <formula>"В работе"</formula>
    </cfRule>
    <cfRule type="cellIs" priority="3" operator="equal" dxfId="2">
      <formula>"Не начато"</formula>
    </cfRule>
    <cfRule type="cellIs" priority="4" operator="equal" dxfId="3">
      <formula>"Не требуется"</formula>
    </cfRule>
    <cfRule type="cellIs" priority="5" operator="equal" dxfId="1">
      <formula>"Частично"</formula>
    </cfRule>
  </conditionalFormatting>
  <dataValidations count="1">
    <dataValidation sqref="G5:G21" showDropDown="0" showInputMessage="0" showErrorMessage="0" allowBlank="1" type="list">
      <formula1>"Выполнено,В работе,Не начато,Частично,Не требуется"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· Аудит программы TITAN</dc:creator>
  <dcterms:created xmlns:dcterms="http://purl.org/dc/terms/" xmlns:xsi="http://www.w3.org/2001/XMLSchema-instance" xsi:type="dcterms:W3CDTF">2026-08-21T05:08:42Z</dcterms:created>
  <dcterms:modified xmlns:dcterms="http://purl.org/dc/terms/" xmlns:xsi="http://www.w3.org/2001/XMLSchema-instance" xsi:type="dcterms:W3CDTF">2026-08-21T05:08:42Z</dcterms:modified>
</cp:coreProperties>
</file>