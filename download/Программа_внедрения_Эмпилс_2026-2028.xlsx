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рамма внедрения" sheetId="1" state="visible" r:id="rId1"/>
    <sheet xmlns:r="http://schemas.openxmlformats.org/officeDocument/2006/relationships" name="Сводка по этапам" sheetId="2" state="visible" r:id="rId2"/>
    <sheet xmlns:r="http://schemas.openxmlformats.org/officeDocument/2006/relationships" name="KPI и контро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B85C1E"/>
      <sz val="16"/>
    </font>
    <font>
      <name val="Noto Sans CJK SC"/>
      <color rgb="00FFFFFF"/>
      <sz val="11"/>
    </font>
    <font>
      <name val="Noto Sans CJK SC"/>
      <color rgb="003E2F1F"/>
      <sz val="11"/>
    </font>
    <font>
      <name val="Noto Sans CJK SC"/>
      <color rgb="00B85C1E"/>
      <sz val="11"/>
    </font>
  </fonts>
  <fills count="6">
    <fill>
      <patternFill/>
    </fill>
    <fill>
      <patternFill patternType="gray125"/>
    </fill>
    <fill>
      <patternFill patternType="solid">
        <fgColor rgb="00B85C1E"/>
      </patternFill>
    </fill>
    <fill>
      <patternFill patternType="solid">
        <fgColor rgb="00FFFFFF"/>
      </patternFill>
    </fill>
    <fill>
      <patternFill patternType="solid">
        <fgColor rgb="00F7F2EC"/>
      </patternFill>
    </fill>
    <fill>
      <patternFill patternType="solid">
        <fgColor rgb="00F5E6D5"/>
      </patternFill>
    </fill>
  </fills>
  <borders count="3">
    <border>
      <left/>
      <right/>
      <top/>
      <bottom/>
      <diagonal/>
    </border>
    <border>
      <bottom style="thin">
        <color rgb="00EAE0D5"/>
      </bottom>
    </border>
    <border>
      <top style="medium">
        <color rgb="00EAE0D5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 wrapText="1"/>
    </xf>
    <xf numFmtId="3" fontId="3" fillId="3" borderId="0" applyAlignment="1" pivotButton="0" quotePrefix="0" xfId="0">
      <alignment horizontal="right" vertical="top" wrapText="1"/>
    </xf>
    <xf numFmtId="0" fontId="3" fillId="4" borderId="0" applyAlignment="1" pivotButton="0" quotePrefix="0" xfId="0">
      <alignment horizontal="left" vertical="top" wrapText="1"/>
    </xf>
    <xf numFmtId="3" fontId="3" fillId="4" borderId="0" applyAlignment="1" pivotButton="0" quotePrefix="0" xfId="0">
      <alignment horizontal="right" vertical="top" wrapText="1"/>
    </xf>
    <xf numFmtId="0" fontId="4" fillId="5" borderId="2" pivotButton="0" quotePrefix="0" xfId="0"/>
    <xf numFmtId="3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top" wrapText="1"/>
    </xf>
    <xf numFmtId="3" fontId="4" fillId="5" borderId="2" applyAlignment="1" pivotButton="0" quotePrefix="0" xfId="0">
      <alignment horizontal="left" vertical="top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28" customWidth="1" min="4" max="4"/>
    <col width="50" customWidth="1" min="5" max="5"/>
    <col width="22" customWidth="1" min="6" max="6"/>
    <col width="16" customWidth="1" min="7" max="7"/>
    <col width="16" customWidth="1" min="8" max="8"/>
    <col width="18" customWidth="1" min="9" max="9"/>
    <col width="38" customWidth="1" min="10" max="10"/>
    <col width="38" customWidth="1" min="11" max="11"/>
    <col width="38" customWidth="1" min="12" max="12"/>
  </cols>
  <sheetData>
    <row r="1" ht="15" customHeight="1"/>
    <row r="2" ht="32" customHeight="1">
      <c r="B2" s="1" t="inlineStr">
        <is>
          <t>Программа внедрения цепочки решений и TCO — Эмпилс 2026-2028</t>
        </is>
      </c>
    </row>
    <row r="3" ht="8" customHeight="1"/>
    <row r="4" ht="28" customHeight="1">
      <c r="B4" s="2" t="inlineStr">
        <is>
          <t>№</t>
        </is>
      </c>
      <c r="C4" s="2" t="inlineStr">
        <is>
          <t>Этап</t>
        </is>
      </c>
      <c r="D4" s="2" t="inlineStr">
        <is>
          <t>Наименование операции / действия</t>
        </is>
      </c>
      <c r="E4" s="2" t="inlineStr">
        <is>
          <t>Детализация операций</t>
        </is>
      </c>
      <c r="F4" s="2" t="inlineStr">
        <is>
          <t>Срок реализации</t>
        </is>
      </c>
      <c r="G4" s="2" t="inlineStr">
        <is>
          <t>Стоимость (руб)</t>
        </is>
      </c>
      <c r="H4" s="2" t="inlineStr">
        <is>
          <t>Трудозатраты (чел-дн)</t>
        </is>
      </c>
      <c r="I4" s="2" t="inlineStr">
        <is>
          <t>Ответственный</t>
        </is>
      </c>
      <c r="J4" s="2" t="inlineStr">
        <is>
          <t>Выгода для розничной точки</t>
        </is>
      </c>
      <c r="K4" s="2" t="inlineStr">
        <is>
          <t>Выгода для потребителя</t>
        </is>
      </c>
      <c r="L4" s="2" t="inlineStr">
        <is>
          <t>Выгода для Эмпилс</t>
        </is>
      </c>
    </row>
    <row r="5" ht="80" customHeight="1">
      <c r="B5" s="3" t="inlineStr">
        <is>
          <t>1.1</t>
        </is>
      </c>
      <c r="C5" s="3" t="inlineStr">
        <is>
          <t>I. Сгруппированные технологии</t>
        </is>
      </c>
      <c r="D5" s="3" t="inlineStr">
        <is>
          <t>Определение и классификация технологических цепочек</t>
        </is>
      </c>
      <c r="E5" s="3" t="inlineStr">
        <is>
          <t>Анализ всего ассортимента Эмпилс; группировка продуктов в цепочки по задачам клиента (ванная, фасад, детская, дерево); определение коротких (2 SKU), средних (3 SKU) и длинных (5 SKU) цепочек; создание матрицы «задача × продукт»</t>
        </is>
      </c>
      <c r="F5" s="3" t="inlineStr">
        <is>
          <t>Июль 2026 — 4 нед.</t>
        </is>
      </c>
      <c r="G5" s="4" t="n">
        <v>0</v>
      </c>
      <c r="H5" s="4" t="n">
        <v>15</v>
      </c>
      <c r="I5" s="3" t="inlineStr">
        <is>
          <t>НИЛ + Маркетинг</t>
        </is>
      </c>
      <c r="J5" s="3" t="inlineStr">
        <is>
          <t>Получает структурированный каталог — продавцу понятно, что предлагать под конкретную задачу клиента; сокращается время на консультацию</t>
        </is>
      </c>
      <c r="K5" s="3" t="inlineStr">
        <is>
          <t>Получает готовое решение под свою задачу, а не отдельную банку — не нужно самостоятельно подбирать совместимые продукты</t>
        </is>
      </c>
      <c r="L5" s="3" t="inlineStr">
        <is>
          <t>Создаёт основу для роста среднего чека на 40-60%; отстройка от конкурентов, продающих «банку»; уникальное предложение на рынке</t>
        </is>
      </c>
    </row>
    <row r="6" ht="80" customHeight="1">
      <c r="B6" s="5" t="inlineStr">
        <is>
          <t>1.2</t>
        </is>
      </c>
      <c r="C6" s="5" t="inlineStr">
        <is>
          <t>I. Сгруппированные технологии</t>
        </is>
      </c>
      <c r="D6" s="5" t="inlineStr">
        <is>
          <t>Разработка технологических карт сочетаний продуктов</t>
        </is>
      </c>
      <c r="E6" s="5" t="inlineStr">
        <is>
          <t>Создание технологических карт для каждой цепочки: оптимальный порядок нанесения, расход на м², совместимость компонентов, гарантия результата при соблюдении технологии; формат А4/A3 для печати + цифровой PDF</t>
        </is>
      </c>
      <c r="F6" s="5" t="inlineStr">
        <is>
          <t>Июль-Авг 2026 — 6 нед.</t>
        </is>
      </c>
      <c r="G6" s="6" t="n">
        <v>150000</v>
      </c>
      <c r="H6" s="6" t="n">
        <v>20</v>
      </c>
      <c r="I6" s="5" t="inlineStr">
        <is>
          <t>НИЛ + Дизайн</t>
        </is>
      </c>
      <c r="J6" s="5" t="inlineStr">
        <is>
          <t>Получает наглядный инструмент продаж — продавец показывает клиенту карту «всё для ремонта ванной» с расчётом; клиент видит полную картину и принимает решение быстрее</t>
        </is>
      </c>
      <c r="K6" s="5" t="inlineStr">
        <is>
          <t>Видит пошаговую инструкцию с гарантированным результатом; понимает, зачем нужен каждый продукт в цепочке; снижается риск ошибки при выборе</t>
        </is>
      </c>
      <c r="L6" s="5" t="inlineStr">
        <is>
          <t>Обоснование цены комплекта vs отдельных продуктов; гарантия результата привязывает клиента к бренду; конкурент не может подменить один элемент системы</t>
        </is>
      </c>
    </row>
    <row r="7" ht="80" customHeight="1">
      <c r="B7" s="3" t="inlineStr">
        <is>
          <t>1.3</t>
        </is>
      </c>
      <c r="C7" s="3" t="inlineStr">
        <is>
          <t>I. Сгруппированные технологии</t>
        </is>
      </c>
      <c r="D7" s="3" t="inlineStr">
        <is>
          <t>Подготовка печатного каталога с подходом от клиента</t>
        </is>
      </c>
      <c r="E7" s="3" t="inlineStr">
        <is>
          <t>Определение формата каталога (А4, 48-64 пол.); структура навигации по задачам, а не по брендам; определение места размещения каталога в магазине (зона выбора, прикассовая зона, стенд); QR-коды на цифровые материалы; макет, верстка, печать тиража</t>
        </is>
      </c>
      <c r="F7" s="3" t="inlineStr">
        <is>
          <t>Авг-Сен 2026 — 8 нед.</t>
        </is>
      </c>
      <c r="G7" s="4" t="n">
        <v>850000</v>
      </c>
      <c r="H7" s="4" t="n">
        <v>30</v>
      </c>
      <c r="I7" s="3" t="inlineStr">
        <is>
          <t>Маркетинг + Дизайн</t>
        </is>
      </c>
      <c r="J7" s="3" t="inlineStr">
        <is>
          <t>Каталог — точка входа для покупателя: навигация по задачам повышает комфорт выбора; размещение в зоне visibility увеличивает конверсию; продавец использует каталог как инструмент консультации</t>
        </is>
      </c>
      <c r="K7" s="3" t="inlineStr">
        <is>
          <t>Самостоятельно находит нужное решение по задаче «ремонт ванной» без помощи продавца; видит TCO-сравнение прямо в каталоге; QR-код ведёт на видеоинструкцию</t>
        </is>
      </c>
      <c r="L7" s="3" t="inlineStr">
        <is>
          <t>Каталог — главный носитель философии решений; переносит клиента от «цены за литр» к «ценности результата»; брендирование зоны выбора в рознице</t>
        </is>
      </c>
    </row>
    <row r="8" ht="80" customHeight="1">
      <c r="B8" s="5" t="inlineStr">
        <is>
          <t>1.4</t>
        </is>
      </c>
      <c r="C8" s="5" t="inlineStr">
        <is>
          <t>I. Сгруппированные технологии</t>
        </is>
      </c>
      <c r="D8" s="5" t="inlineStr">
        <is>
          <t>Отдельная презентация по сгруппированным технологиям для дилеров</t>
        </is>
      </c>
      <c r="E8" s="5" t="inlineStr">
        <is>
          <t>Создание продающей презентации (15-20 слайдов): суть подхода, 3 эффекта группировки (рост чека +40-60%, гарантия результата, защита от замещения), примеры TCO-расчётов, технологические карты, кейсы; формат PPTX + PDF для рассылки</t>
        </is>
      </c>
      <c r="F8" s="5" t="inlineStr">
        <is>
          <t>Сен 2026 — 4 нед.</t>
        </is>
      </c>
      <c r="G8" s="6" t="n">
        <v>120000</v>
      </c>
      <c r="H8" s="6" t="n">
        <v>12</v>
      </c>
      <c r="I8" s="5" t="inlineStr">
        <is>
          <t>Маркетинг</t>
        </is>
      </c>
      <c r="J8" s="5" t="inlineStr">
        <is>
          <t>Дилер получает готовый инструмент для убеждения своих клиентов (розницы); понимает экономику цепочек — маржа выше, чем на отдельные продукты; может показывать презентацию на встречах</t>
        </is>
      </c>
      <c r="K8" s="5" t="inlineStr">
        <is>
          <t>Косвенная выгода: дилер лучше объясняет ценность, потребитель получает более качественную консультацию и осознанный выбор</t>
        </is>
      </c>
      <c r="L8" s="5" t="inlineStr">
        <is>
          <t>Масштабирование подхода «решения» через дистрибьюторскую сеть; стандартизация предложения; каждый дилер говорит на одном языке</t>
        </is>
      </c>
    </row>
    <row r="9" ht="80" customHeight="1">
      <c r="B9" s="3" t="inlineStr">
        <is>
          <t>2.1</t>
        </is>
      </c>
      <c r="C9" s="3" t="inlineStr">
        <is>
          <t>II. TCO (совокупная стоимость владения)</t>
        </is>
      </c>
      <c r="D9" s="3" t="inlineStr">
        <is>
          <t>Разработка TCO-калькулятора на базе Excel</t>
        </is>
      </c>
      <c r="E9" s="3" t="inlineStr">
        <is>
          <t>Создание Excel-калькулятора: ввод площади/типа помещения → автоматический расчёт стоимости материалов, работ, срока службы, стоимости 1 года эксплуатации; предзаполненные сценарии (комната 20 м², фасад, ванная); сравнение «эконом vs премиум» с визуализацией экономии; защита формул, инструкция для менеджера</t>
        </is>
      </c>
      <c r="F9" s="3" t="inlineStr">
        <is>
          <t>Авг 2026 — 4 нед.</t>
        </is>
      </c>
      <c r="G9" s="4" t="n">
        <v>200000</v>
      </c>
      <c r="H9" s="4" t="n">
        <v>15</v>
      </c>
      <c r="I9" s="3" t="inlineStr">
        <is>
          <t>Маркетинг + Аналитика</t>
        </is>
      </c>
      <c r="J9" s="3" t="inlineStr">
        <is>
          <t>Менеджер розничной точки за 2 минуты показывает клиенту, что премиум дешевле в год эксплуатации (эконом 6 450 ₽/год vs премиум 2 447 ₽/год); главный аргумент для обоснования цены</t>
        </is>
      </c>
      <c r="K9" s="3" t="inlineStr">
        <is>
          <t>Понимает, что переплата за премиум — всего +7% к смете, но -60% к стоимости года эксплуатации; видит конкретные цифры, а не абстрактные обещания</t>
        </is>
      </c>
      <c r="L9" s="3" t="inlineStr">
        <is>
          <t>Переводит продажу от «цены за литр» к «стоимости года эксплуатации»; главное оружие против «дорого»; калькулятор — уникальный инструмент, которого нет у конкурентов</t>
        </is>
      </c>
    </row>
    <row r="10" ht="80" customHeight="1">
      <c r="B10" s="5" t="inlineStr">
        <is>
          <t>2.2</t>
        </is>
      </c>
      <c r="C10" s="5" t="inlineStr">
        <is>
          <t>II. TCO (совокупная стоимость владения)</t>
        </is>
      </c>
      <c r="D10" s="5" t="inlineStr">
        <is>
          <t>Размещение TCO-калькулятора на сайте (веб-версия)</t>
        </is>
      </c>
      <c r="E10" s="5" t="inlineStr">
        <is>
          <t>Адаптация Excel-калькулятора в веб-версию на сайте empils.ru; интеграция с каталогом продуктов; сохранение результатов расчёта в PDF для клиента; мобильная адаптация</t>
        </is>
      </c>
      <c r="F10" s="5" t="inlineStr">
        <is>
          <t>Сен-Окт 2026 — 6 нед.</t>
        </is>
      </c>
      <c r="G10" s="6" t="n">
        <v>350000</v>
      </c>
      <c r="H10" s="6" t="n">
        <v>20</v>
      </c>
      <c r="I10" s="5" t="inlineStr">
        <is>
          <t>IT + Маркетинг</t>
        </is>
      </c>
      <c r="J10" s="5" t="inlineStr">
        <is>
          <t>Клиент может самостоятельно рассчитать выгоду прямо на сайте до визита в магазин; приходит в розницу уже подготовленным и с пониманием ценности</t>
        </is>
      </c>
      <c r="K10" s="5" t="inlineStr">
        <is>
          <t>Самостоятельно оценивает выгоду премиум-решения без давления продавца; получает расчёт на e-mail; принимает осознанное решение</t>
        </is>
      </c>
      <c r="L10" s="5" t="inlineStr">
        <is>
          <t>Цифровой лидогенератор: каждый расчёт — потенциальная заявка; повышение конверсии сайта; аналитика популярности сценариев</t>
        </is>
      </c>
    </row>
    <row r="11" ht="80" customHeight="1">
      <c r="B11" s="3" t="inlineStr">
        <is>
          <t>2.3</t>
        </is>
      </c>
      <c r="C11" s="3" t="inlineStr">
        <is>
          <t>II. TCO (совокупная стоимость владения)</t>
        </is>
      </c>
      <c r="D11" s="3" t="inlineStr">
        <is>
          <t>Интеграция TCO-сравнения в этикетки и POSm</t>
        </is>
      </c>
      <c r="E11" s="3" t="inlineStr">
        <is>
          <t>Добавление TCO-сравнения «Эконом: 6 450 ₽/год → Премиум: 2 447 ₽/год» на ценники, выкрасы, полочные бирки; разработка дизайна POSm «под задачу» для DIY-ритейла; этикетки с QR на веб-калькулятор</t>
        </is>
      </c>
      <c r="F11" s="3" t="inlineStr">
        <is>
          <t>Окт 2026 — 4 нед.</t>
        </is>
      </c>
      <c r="G11" s="4" t="n">
        <v>280000</v>
      </c>
      <c r="H11" s="4" t="n">
        <v>15</v>
      </c>
      <c r="I11" s="3" t="inlineStr">
        <is>
          <t>Маркетинг + Дизайн</t>
        </is>
      </c>
      <c r="J11" s="3" t="inlineStr">
        <is>
          <t>Ценник на полке сам продаёт премиум — клиент видит выгоду в год эксплуатации без помощи продавца; повышение доли премиума в чеке без дополнительных усилий персонала</t>
        </is>
      </c>
      <c r="K11" s="3" t="inlineStr">
        <is>
          <t>Получает понятный аргумент прямо на полке: «премиум дешевле в 2,6 раза в год»; не нужно искать информацию — она перед глазами</t>
        </is>
      </c>
      <c r="L11" s="3" t="inlineStr">
        <is>
          <t>POSm работает 24/7 как продавец; повышение доли премиума в структуре продаж; стандартизация коммуникации во всех точках</t>
        </is>
      </c>
    </row>
    <row r="12" ht="80" customHeight="1">
      <c r="B12" s="5" t="inlineStr">
        <is>
          <t>3.1</t>
        </is>
      </c>
      <c r="C12" s="5" t="inlineStr">
        <is>
          <t>III. Обучение и стандарты</t>
        </is>
      </c>
      <c r="D12" s="5" t="inlineStr">
        <is>
          <t>Создание курса по обучению презентации и продажи сгруппированных технологий</t>
        </is>
      </c>
      <c r="E12" s="5" t="inlineStr">
        <is>
          <t>Разработка учебной программы: модуль 1 — суть сгруппированных технологий (теория); модуль 2 — продажа через ценность, а не цену (TCO vs конкуренты); модуль 3 — практикум — работа с калькулятором и технологическими картами; сертификация «Эксперт Эмпилс»; формат: онлайн + очно; видео-уроки + тесты</t>
        </is>
      </c>
      <c r="F12" s="5" t="inlineStr">
        <is>
          <t>Сен-Окт 2026 — 8 нед.</t>
        </is>
      </c>
      <c r="G12" s="6" t="n">
        <v>300000</v>
      </c>
      <c r="H12" s="6" t="n">
        <v>25</v>
      </c>
      <c r="I12" s="5" t="inlineStr">
        <is>
          <t>Маркетинг + ОУП</t>
        </is>
      </c>
      <c r="J12" s="5" t="inlineStr">
        <is>
          <t>Продавец розницы умеет продавать не «банку краски», а «решение проблемы клиента»; рост конверсии премиума; сертификация повышает мотивацию и лояльность персонала</t>
        </is>
      </c>
      <c r="K12" s="5" t="inlineStr">
        <is>
          <t>Получает экспертную консультацию вместо «приёмщика заказа»; продавец гарантирует результат; снижается риск ошибки при выборе</t>
        </is>
      </c>
      <c r="L12" s="5" t="inlineStr">
        <is>
          <t>Масштабирование подхода «решения» через обучение чужого персонала; сертифицированные продавцы — амбассадоры бренда; рост доли премиума</t>
        </is>
      </c>
    </row>
    <row r="13" ht="80" customHeight="1">
      <c r="B13" s="3" t="inlineStr">
        <is>
          <t>3.2</t>
        </is>
      </c>
      <c r="C13" s="3" t="inlineStr">
        <is>
          <t>III. Обучение и стандарты</t>
        </is>
      </c>
      <c r="D13" s="3" t="inlineStr">
        <is>
          <t>Стандартизация умений для полевой демонстрации ЛКМ Эмпилс</t>
        </is>
      </c>
      <c r="E13" s="3" t="inlineStr">
        <is>
          <t>Разработка стандартов проведения полевых демонстраций: чек-лист демонстрации (подготовка, расход, покрытие, сравнение); набор-чемодан демонстратора; скрипт выступления; обучение региональной команды новому формату; регламент проведения (частота, отчётность)</t>
        </is>
      </c>
      <c r="F13" s="3" t="inlineStr">
        <is>
          <t>Сен-Окт 2026 — 6 нед.</t>
        </is>
      </c>
      <c r="G13" s="4" t="n">
        <v>180000</v>
      </c>
      <c r="H13" s="4" t="n">
        <v>18</v>
      </c>
      <c r="I13" s="3" t="inlineStr">
        <is>
          <t>ОУП + Маркетинг</t>
        </is>
      </c>
      <c r="J13" s="3" t="inlineStr">
        <is>
          <t>Наглядная демонстрация преимуществ на месте продаж; клиент видит разницу «своими глазами»; конверсия из «смотрю» в «покупаю» значительно возрастает</t>
        </is>
      </c>
      <c r="K13" s="3" t="inlineStr">
        <is>
          <t>Видит разницу между эконом и премиум вживую: укрывистость, стойкость, моемость; убеждается в обоснованности цены; доверие к бренду растёт</t>
        </is>
      </c>
      <c r="L13" s="3" t="inlineStr">
        <is>
          <t>Стандартизация качества демонстраций по всей стране; конвейерная система регулярных мероприятий; рост узнаваемости и доверия в регионах</t>
        </is>
      </c>
    </row>
    <row r="14" ht="80" customHeight="1">
      <c r="B14" s="5" t="inlineStr">
        <is>
          <t>3.3</t>
        </is>
      </c>
      <c r="C14" s="5" t="inlineStr">
        <is>
          <t>III. Обучение и стандарты</t>
        </is>
      </c>
      <c r="D14" s="5" t="inlineStr">
        <is>
          <t>Подготовка трёх видов визуальных пригласительных для рассылки по партнёрам</t>
        </is>
      </c>
      <c r="E14" s="5" t="inlineStr">
        <is>
          <t>Вид 1: Приглашение на «Премиум-лабораторию Эмпилс» (для лояльных партнёров); Вид 2: Приглашение на «Выездную лабораторию» (для дилеров дистрибьютора); Вид 3: Приглашение «Визит на завод Эмпилс» (для дистрибьюторов-конкурентов); дизайн, текст, PDF для рассылки + печатная версия</t>
        </is>
      </c>
      <c r="F14" s="5" t="inlineStr">
        <is>
          <t>Авг-Сен 2026 — 4 нед.</t>
        </is>
      </c>
      <c r="G14" s="6" t="n">
        <v>90000</v>
      </c>
      <c r="H14" s="6" t="n">
        <v>8</v>
      </c>
      <c r="I14" s="5" t="inlineStr">
        <is>
          <t>Маркетинг + Дизайн</t>
        </is>
      </c>
      <c r="J14" s="5" t="inlineStr">
        <is>
          <t>Партнёр получает визуально привлекательное приглашение — это сигнал серьёзности намерений Эмпилс; мероприятие = бесплатное обучение персонала + новые инструменты продаж</t>
        </is>
      </c>
      <c r="K14" s="5" t="inlineStr">
        <is>
          <t>Косвенная выгода: партнёр приходит на мероприятие → лучше обслуживает своих клиентов → потребитель получает качественную консультацию</t>
        </is>
      </c>
      <c r="L14" s="5" t="inlineStr">
        <is>
          <t>Инструмент активации партнёров; визуальный посыл «завод обновился — новые подходы к бизнесу»; систематический канал коммуникации с базой</t>
        </is>
      </c>
    </row>
    <row r="15" ht="80" customHeight="1">
      <c r="B15" s="3" t="inlineStr">
        <is>
          <t>4.1</t>
        </is>
      </c>
      <c r="C15" s="3" t="inlineStr">
        <is>
          <t>IV. Диджитал и коммуникации</t>
        </is>
      </c>
      <c r="D15" s="3" t="inlineStr">
        <is>
          <t>Обновление сайта — навигация по технологическим решениям</t>
        </is>
      </c>
      <c r="E15" s="3" t="inlineStr">
        <is>
          <t>Реструктуризация навигации сайта empils.ru: раздел «Решения по задачам» (ванная, фасад, дерево, детская); карточка каждой технологии с составом цепочки, TCO-расчётом, видеоинструкцией; обновление английской версии; интеграция с 3D-туром</t>
        </is>
      </c>
      <c r="F15" s="3" t="inlineStr">
        <is>
          <t>Сен-Ноя 2026 — 10 нед.</t>
        </is>
      </c>
      <c r="G15" s="4" t="n">
        <v>600000</v>
      </c>
      <c r="H15" s="4" t="n">
        <v>35</v>
      </c>
      <c r="I15" s="3" t="inlineStr">
        <is>
          <t>IT + Маркетинг</t>
        </is>
      </c>
      <c r="J15" s="3" t="inlineStr">
        <is>
          <t>Розничная точка получает готовый цифровой каталог для работы с клиентами; можно отправить ссылку на конкретное решение; сайт работает как «24/7 продавец»</t>
        </is>
      </c>
      <c r="K15" s="3" t="inlineStr">
        <is>
          <t>Находит нужное решение без помощи продавца; видит TCO, видео, отзывы; может рассчитать стоимость онлайн; осознанный выбор без давления</t>
        </is>
      </c>
      <c r="L15" s="3" t="inlineStr">
        <is>
          <t>Цифровое лидерство; SEO-трафик по запросам задач («краска для ванной»); конверсия посетителей в покупателей; снижение зависимости от офлайн-каналов</t>
        </is>
      </c>
    </row>
    <row r="16" ht="80" customHeight="1">
      <c r="B16" s="5" t="inlineStr">
        <is>
          <t>4.2</t>
        </is>
      </c>
      <c r="C16" s="5" t="inlineStr">
        <is>
          <t>IV. Диджитал и коммуникации</t>
        </is>
      </c>
      <c r="D16" s="5" t="inlineStr">
        <is>
          <t>Запуск Rutube-канала — медиатека по технологическим связкам</t>
        </is>
      </c>
      <c r="E16" s="5" t="inlineStr">
        <is>
          <t>Создание канала; план контента: видео-инструкции по технологическим цепочкам (по 3-5 мин); сравнительные тесты «эконом vs премиум»; кейсы объектов; интервью с экспертами; 2 видео в неделю; кросс-постинг в VK и Telegram</t>
        </is>
      </c>
      <c r="F16" s="5" t="inlineStr">
        <is>
          <t>Окт 2026 — ongoing</t>
        </is>
      </c>
      <c r="G16" s="6" t="n">
        <v>250000</v>
      </c>
      <c r="H16" s="6" t="n">
        <v>20</v>
      </c>
      <c r="I16" s="5" t="inlineStr">
        <is>
          <t>Маркетинг + SMM</t>
        </is>
      </c>
      <c r="J16" s="5" t="inlineStr">
        <is>
          <t>Розничная точка получает библиотеку видео для демонстрации клиентам; можно показать видео прямо в магазине; видео работает как продавец</t>
        </is>
      </c>
      <c r="K16" s="5" t="inlineStr">
        <is>
          <t>Смотрит видео-инструкцию перед покупкой; видит реальный результат; понимает, зачем нужен каждый продукт в цепочке; снижается страх ошибки</t>
        </is>
      </c>
      <c r="L16" s="5" t="inlineStr">
        <is>
          <t>Собственная медиаплатформа; снижение зависимости от алгоритмов соцсетей; контент для обучения, рассылок, сайта; рост охвата и узнаваемости</t>
        </is>
      </c>
    </row>
    <row r="17" ht="80" customHeight="1">
      <c r="B17" s="3" t="inlineStr">
        <is>
          <t>4.3</t>
        </is>
      </c>
      <c r="C17" s="3" t="inlineStr">
        <is>
          <t>IV. Диджитал и коммуникации</t>
        </is>
      </c>
      <c r="D17" s="3" t="inlineStr">
        <is>
          <t>Посадочная страница «Стань партнёром Эмпилс» (rus, eng)</t>
        </is>
      </c>
      <c r="E17" s="3" t="inlineStr">
        <is>
          <t>Создание лендинга: преимущества партнёрства; каталог решений; TCO-калькулятор; форма заявки; интеграция с CRM; версия на русском и английском (для экспортных партнёров); SEO-оптимизация</t>
        </is>
      </c>
      <c r="F17" s="3" t="inlineStr">
        <is>
          <t>Окт-Ноя 2026 — 6 нед.</t>
        </is>
      </c>
      <c r="G17" s="4" t="n">
        <v>200000</v>
      </c>
      <c r="H17" s="4" t="n">
        <v>15</v>
      </c>
      <c r="I17" s="3" t="inlineStr">
        <is>
          <t>IT + Продажи</t>
        </is>
      </c>
      <c r="J17" s="3" t="inlineStr">
        <is>
          <t>Новый партнёр может ознакомиться с предложением онлайн в любое время; прозрачные условия; понятная ценность партнёрства; снижение порога входа</t>
        </is>
      </c>
      <c r="K17" s="3" t="inlineStr">
        <is>
          <t>Косвенная выгода: больше партнёров → больше точек продаж → удобнее найти продукцию Эмпилс рядом с домом</t>
        </is>
      </c>
      <c r="L17" s="3" t="inlineStr">
        <is>
          <t>Автоматизация привлечения партнёров; сокращение цикла сделки; расширение географии; инструмент для экспортной экспансии; база потенциальных партнёров</t>
        </is>
      </c>
    </row>
    <row r="18" ht="80" customHeight="1">
      <c r="B18" s="5" t="inlineStr">
        <is>
          <t>4.4</t>
        </is>
      </c>
      <c r="C18" s="5" t="inlineStr">
        <is>
          <t>IV. Диджитал и коммуникации</t>
        </is>
      </c>
      <c r="D18" s="5" t="inlineStr">
        <is>
          <t>Рассылка по партнёрам «Присоединяйтесь к нам в социальных сетях»</t>
        </is>
      </c>
      <c r="E18" s="5" t="inlineStr">
        <is>
          <t>Формирование базы email-адресов партнёров; создание серии писем: (1) приглашение в VK/Telegram/Rutube; (2) обзор новых технологий; (3) кейсы успешных партнёров; выбор сервиса рассылки (UniSender); настройка триггерных писем; интеграция с CRM</t>
        </is>
      </c>
      <c r="F18" s="5" t="inlineStr">
        <is>
          <t>Сен 2026 — ongoing</t>
        </is>
      </c>
      <c r="G18" s="6" t="n">
        <v>80000</v>
      </c>
      <c r="H18" s="6" t="n">
        <v>8</v>
      </c>
      <c r="I18" s="5" t="inlineStr">
        <is>
          <t>Маркетинг + Продажи</t>
        </is>
      </c>
      <c r="J18" s="5" t="inlineStr">
        <is>
          <t>Партнёр регулярно получает полезный контент; узнаёт о новинках и акциях первым; чувствует внимание компании; повышается лояльность</t>
        </is>
      </c>
      <c r="K18" s="5" t="inlineStr">
        <is>
          <t>Косвенная выгода: партнёр лучше информирован → лучше обслуживает своих клиентов → потребитель получает актуальную информацию</t>
        </is>
      </c>
      <c r="L18" s="5" t="inlineStr">
        <is>
          <t>Систематический канал влияния на партнёров; снижение оттока; повышение лояльности; информирование о новых продуктах и технологиях; стимулирование закупок</t>
        </is>
      </c>
    </row>
    <row r="19" ht="80" customHeight="1">
      <c r="B19" s="3" t="inlineStr">
        <is>
          <t>4.5</t>
        </is>
      </c>
      <c r="C19" s="3" t="inlineStr">
        <is>
          <t>IV. Диджитал и коммуникации</t>
        </is>
      </c>
      <c r="D19" s="3" t="inlineStr">
        <is>
          <t>3D-тур по заводу Эмпилс — реализация в Яндекс/Google</t>
        </is>
      </c>
      <c r="E19" s="3" t="inlineStr">
        <is>
          <t>Съёмка 3D-тура по обновлённому заводу: производственные линии, лаборатория, склад; точки интереса с описаниями; интеграция на сайт и в презентации; версия для VR-очков; хостинг на Яндекс.Панорамы и Google Street View</t>
        </is>
      </c>
      <c r="F19" s="3" t="inlineStr">
        <is>
          <t>Окт-Ноя 2026 — 6 нед.</t>
        </is>
      </c>
      <c r="G19" s="4" t="n">
        <v>450000</v>
      </c>
      <c r="H19" s="4" t="n">
        <v>10</v>
      </c>
      <c r="I19" s="3" t="inlineStr">
        <is>
          <t>Маркетинг + IT</t>
        </is>
      </c>
      <c r="J19" s="3" t="inlineStr">
        <is>
          <t>Может показать клиентам виртуальную экскурсию по заводу — транслирует масштаб и надёжность производства; повышает доверие к бренду; аргумент «мы видим, как производят»</t>
        </is>
      </c>
      <c r="K19" s="3" t="inlineStr">
        <is>
          <t>Видит современное производство; убеждается в качестве; доверие к бренду растёт; понимает, за что платит — не «подвальная краска», а заводской продукт с контролем качества</t>
        </is>
      </c>
      <c r="L19" s="3" t="inlineStr">
        <is>
          <t>Демонстрация масштаба и модернизации завода; аргумент в переговорах с новыми партнёрами; инструмент PR и имиджа; снижение репутационного долга</t>
        </is>
      </c>
    </row>
    <row r="20" ht="80" customHeight="1">
      <c r="B20" s="5" t="inlineStr">
        <is>
          <t>5.1</t>
        </is>
      </c>
      <c r="C20" s="5" t="inlineStr">
        <is>
          <t>V. Продажи и партнёрство</t>
        </is>
      </c>
      <c r="D20" s="5" t="inlineStr">
        <is>
          <t>Создание базы потенциальных, потерянных и отказных партнёров</t>
        </is>
      </c>
      <c r="E20" s="5" t="inlineStr">
        <is>
          <t>Сбор данных: потенциальные (не работали, но подходят по профилю); потерянные (работали, ушли); отказники (отказались работать); сегментация по регионам, каналам, причинам; интеграция в CRM; назначение ответственных РП</t>
        </is>
      </c>
      <c r="F20" s="5" t="inlineStr">
        <is>
          <t>Июль-Авг 2026 — 6 нед.</t>
        </is>
      </c>
      <c r="G20" s="6" t="n">
        <v>50000</v>
      </c>
      <c r="H20" s="6" t="n">
        <v>15</v>
      </c>
      <c r="I20" s="5" t="inlineStr">
        <is>
          <t>Продажи + ОУП</t>
        </is>
      </c>
      <c r="J20" s="5" t="inlineStr">
        <is>
          <t>Розничная точка получает персональное внимание от Эмпилс; систематическая работа по возврату и привлечению партнёров → расширение ассортимента и инструментов продаж в магазине</t>
        </is>
      </c>
      <c r="K20" s="5" t="inlineStr">
        <is>
          <t>Косвенная выгода: больше партнёров → больше точек продаж → удобнее найти продукт и получить консультацию</t>
        </is>
      </c>
      <c r="L20" s="5" t="inlineStr">
        <is>
          <t>Системная работа с базой вместо хаотичных контактов; рост числа активных партнёров; покрытие «белых пятен»; возврат потерянных клиентов</t>
        </is>
      </c>
    </row>
    <row r="21" ht="80" customHeight="1">
      <c r="B21" s="3" t="inlineStr">
        <is>
          <t>5.2</t>
        </is>
      </c>
      <c r="C21" s="3" t="inlineStr">
        <is>
          <t>V. Продажи и партнёрство</t>
        </is>
      </c>
      <c r="D21" s="3" t="inlineStr">
        <is>
          <t>Рассылка визуального пригласительного «Возрождение» по потенциальным партнёрам</t>
        </is>
      </c>
      <c r="E21" s="3" t="inlineStr">
        <is>
          <t>Создание визуального письма: посыл «завод обновился — новые подходы к бизнесу»; фото обновлённого завода, новые продукты, инструменты (TCO, каталог, обучение); персонализация по имени; CTA — «Запишитесь на встречу/экскурсию»; A/B тестирование; отслеживание открытий и ответов</t>
        </is>
      </c>
      <c r="F21" s="3" t="inlineStr">
        <is>
          <t>Сен 2026 — ongoing</t>
        </is>
      </c>
      <c r="G21" s="4" t="n">
        <v>60000</v>
      </c>
      <c r="H21" s="4" t="n">
        <v>8</v>
      </c>
      <c r="I21" s="3" t="inlineStr">
        <is>
          <t>Продажи + Маркетинг</t>
        </is>
      </c>
      <c r="J21" s="3" t="inlineStr">
        <is>
          <t>Потенциальный партнёр видит, что Эмпилс изменился; визуальное приглашение создаёт впечатление серьёзности и масштаба; предложение новых инструментов продаж (TCO, обучение, маркетинговая поддержка)</t>
        </is>
      </c>
      <c r="K21" s="3" t="inlineStr">
        <is>
          <t>Косвенная: новый партнёр = новая розничная точка = больше точек доступа к продукту и качественной консультации для потребителя</t>
        </is>
      </c>
      <c r="L21" s="3" t="inlineStr">
        <is>
          <t>Активация «спящих» контактов; имидж обновлённой компании; снижение репутационного долга; рост базы активных партнёров; систематическая коммуникация</t>
        </is>
      </c>
    </row>
    <row r="22" ht="80" customHeight="1">
      <c r="B22" s="5" t="inlineStr">
        <is>
          <t>5.3</t>
        </is>
      </c>
      <c r="C22" s="5" t="inlineStr">
        <is>
          <t>V. Продажи и партнёрство</t>
        </is>
      </c>
      <c r="D22" s="5" t="inlineStr">
        <is>
          <t>Обучение региональной команды новому формату полевой демонстрации</t>
        </is>
      </c>
      <c r="E22" s="5" t="inlineStr">
        <is>
          <t>Разработка нового формата: от «показать банку» к «показать результат»; стандартный набор-чемодан; скрипт демонстрации; обучение всех РП (2-дневный тренинг); аттестация; план-график выездных демонстраций</t>
        </is>
      </c>
      <c r="F22" s="5" t="inlineStr">
        <is>
          <t>Сен-Окт 2026 — 6 нед.</t>
        </is>
      </c>
      <c r="G22" s="6" t="n">
        <v>150000</v>
      </c>
      <c r="H22" s="6" t="n">
        <v>20</v>
      </c>
      <c r="I22" s="5" t="inlineStr">
        <is>
          <t>ОУП + Продажи</t>
        </is>
      </c>
      <c r="J22" s="5" t="inlineStr">
        <is>
          <t>Розничная точка получает бесплатную выездную демонстрацию для своих клиентов; рост продаж в день мероприятия; обучение своего персонала в процессе</t>
        </is>
      </c>
      <c r="K22" s="5" t="inlineStr">
        <is>
          <t>Видит наглядную разницу между продуктами; может «пощупать» результат; убеждается в качестве; снижается страх переплаты</t>
        </is>
      </c>
      <c r="L22" s="5" t="inlineStr">
        <is>
          <t>Полевая демонстрация = самый конверсионный инструмент; систематическая работа по графику; охват всех регионов; рост продаж премиума</t>
        </is>
      </c>
    </row>
    <row r="23" ht="80" customHeight="1">
      <c r="B23" s="3" t="inlineStr">
        <is>
          <t>5.4</t>
        </is>
      </c>
      <c r="C23" s="3" t="inlineStr">
        <is>
          <t>V. Продажи и партнёрство</t>
        </is>
      </c>
      <c r="D23" s="3" t="inlineStr">
        <is>
          <t>План-график мероприятий: встречи, полевая лаборатория у партнёров</t>
        </is>
      </c>
      <c r="E23" s="3" t="inlineStr">
        <is>
          <t>Составление годового плана мероприятий: (1) Полевая лаборатория у партнёров — 2-3 в месяц; (2) Академия продаж — ежеквартально; (3) Выставки — по календарю; (4) Визиты на завод — по запросу; привязка к сезонности; бюджетирование; отчётность и KPI</t>
        </is>
      </c>
      <c r="F23" s="3" t="inlineStr">
        <is>
          <t>Авг 2026 — ongoing</t>
        </is>
      </c>
      <c r="G23" s="4" t="n">
        <v>500000</v>
      </c>
      <c r="H23" s="4" t="n">
        <v>40</v>
      </c>
      <c r="I23" s="3" t="inlineStr">
        <is>
          <t>Продажи + Маркетинг</t>
        </is>
      </c>
      <c r="J23" s="3" t="inlineStr">
        <is>
          <t>Систематическая поддержка: регулярные мероприятия у партнёра = регулярный поток клиентов и рост продаж; партнёр не один — Эмпилс рядом; планомерная работа вместо разовых акций</t>
        </is>
      </c>
      <c r="K23" s="3" t="inlineStr">
        <is>
          <t>Получает доступ к экспертам Эмпилс на регулярной основе; может задать вопросы; видит новинки вживую; растёт доверие к бренду</t>
        </is>
      </c>
      <c r="L23" s="3" t="inlineStr">
        <is>
          <t>Конвейерная система мероприятий; предсказуемый рост продаж; систематизация вместо хаоса; контроль качества мероприятий через KPI; покрытие всех регионов</t>
        </is>
      </c>
    </row>
    <row r="24" ht="26" customHeight="1">
      <c r="B24" s="7" t="inlineStr">
        <is>
          <t>ИТОГО</t>
        </is>
      </c>
      <c r="C24" s="7" t="n"/>
      <c r="D24" s="7" t="n"/>
      <c r="E24" s="7" t="n"/>
      <c r="F24" s="7" t="n"/>
      <c r="G24" s="8">
        <f>SUM(G5:G23)</f>
        <v/>
      </c>
      <c r="H24" s="8">
        <f>SUM(H5:H23)</f>
        <v/>
      </c>
      <c r="I24" s="7" t="n"/>
      <c r="J24" s="7" t="n"/>
      <c r="K24" s="7" t="n"/>
      <c r="L24" s="7" t="n"/>
    </row>
  </sheetData>
  <mergeCells count="1">
    <mergeCell ref="B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8" customWidth="1" min="4" max="4"/>
    <col width="18" customWidth="1" min="5" max="5"/>
    <col width="22" customWidth="1" min="6" max="6"/>
    <col width="38" customWidth="1" min="7" max="7"/>
    <col width="38" customWidth="1" min="8" max="8"/>
    <col width="38" customWidth="1" min="9" max="9"/>
  </cols>
  <sheetData>
    <row r="1" ht="15" customHeight="1"/>
    <row r="2" ht="32" customHeight="1">
      <c r="B2" s="1" t="inlineStr">
        <is>
          <t>Сводка по этапам программы внедрения</t>
        </is>
      </c>
    </row>
    <row r="3" ht="8" customHeight="1"/>
    <row r="4" ht="28" customHeight="1">
      <c r="B4" s="2" t="inlineStr">
        <is>
          <t>Этап</t>
        </is>
      </c>
      <c r="C4" s="2" t="inlineStr">
        <is>
          <t>Кол-во операций</t>
        </is>
      </c>
      <c r="D4" s="2" t="inlineStr">
        <is>
          <t>Стоимость (руб)</t>
        </is>
      </c>
      <c r="E4" s="2" t="inlineStr">
        <is>
          <t>Трудозатраты (чел-дн)</t>
        </is>
      </c>
      <c r="F4" s="2" t="inlineStr">
        <is>
          <t>Срок реализации</t>
        </is>
      </c>
      <c r="G4" s="2" t="inlineStr">
        <is>
          <t>Главная выгода для розницы</t>
        </is>
      </c>
      <c r="H4" s="2" t="inlineStr">
        <is>
          <t>Главная выгода для потребителя</t>
        </is>
      </c>
      <c r="I4" s="2" t="inlineStr">
        <is>
          <t>Главная выгода для Эмпилс</t>
        </is>
      </c>
    </row>
    <row r="5" ht="60" customHeight="1">
      <c r="B5" s="3" t="inlineStr">
        <is>
          <t>I. Сгруппированные технологии</t>
        </is>
      </c>
      <c r="C5" s="3" t="n">
        <v>4</v>
      </c>
      <c r="D5" s="3" t="n">
        <v>1120000</v>
      </c>
      <c r="E5" s="3" t="n">
        <v>77</v>
      </c>
      <c r="F5" s="3" t="inlineStr">
        <is>
          <t>Июль — Сен 2026</t>
        </is>
      </c>
      <c r="G5" s="3" t="inlineStr">
        <is>
          <t>Структурированный каталог + технологические карты = продавец понимает, что предлагать; рост среднего чека +40-60%</t>
        </is>
      </c>
      <c r="H5" s="3" t="inlineStr">
        <is>
          <t>Готовое решение под задачу вместо отдельной банки; пошаговая инструкция с гарантированным результатом</t>
        </is>
      </c>
      <c r="I5" s="3" t="inlineStr">
        <is>
          <t>Уникальное предложение на рынке; отстройка от конкурентов; основа для роста маржинальности</t>
        </is>
      </c>
    </row>
    <row r="6" ht="60" customHeight="1">
      <c r="B6" s="5" t="inlineStr">
        <is>
          <t>II. TCO (совокупная стоимость владения)</t>
        </is>
      </c>
      <c r="C6" s="5" t="n">
        <v>3</v>
      </c>
      <c r="D6" s="5" t="n">
        <v>830000</v>
      </c>
      <c r="E6" s="5" t="n">
        <v>50</v>
      </c>
      <c r="F6" s="5" t="inlineStr">
        <is>
          <t>Авг — Окт 2026</t>
        </is>
      </c>
      <c r="G6" s="5" t="inlineStr">
        <is>
          <t>Менеджер за 2 минуты обосновывает цену премиума; ценник на полке сам продаёт</t>
        </is>
      </c>
      <c r="H6" s="5" t="inlineStr">
        <is>
          <t>Видит, что премиум дешевле в 2,6× в год эксплуатации; конкретные цифры вместо абстракций</t>
        </is>
      </c>
      <c r="I6" s="5" t="inlineStr">
        <is>
          <t>Главное оружие против «дорого»; уникальный инструмент; повышение доли премиума в чеке</t>
        </is>
      </c>
    </row>
    <row r="7" ht="60" customHeight="1">
      <c r="B7" s="3" t="inlineStr">
        <is>
          <t>III. Обучение и стандарты</t>
        </is>
      </c>
      <c r="C7" s="3" t="n">
        <v>3</v>
      </c>
      <c r="D7" s="3" t="n">
        <v>570000</v>
      </c>
      <c r="E7" s="3" t="n">
        <v>51</v>
      </c>
      <c r="F7" s="3" t="inlineStr">
        <is>
          <t>Авг — Окт 2026</t>
        </is>
      </c>
      <c r="G7" s="3" t="inlineStr">
        <is>
          <t>Продавец умеет продавать решения; наглядная демонстрация повышает конверсию; визуальные приглашения активируют партнёров</t>
        </is>
      </c>
      <c r="H7" s="3" t="inlineStr">
        <is>
          <t>Экспертная консультация вместо «приёмщика заказа»; видит разницу эконом/премиум вживую</t>
        </is>
      </c>
      <c r="I7" s="3" t="inlineStr">
        <is>
          <t>Масштабирование через обучение; сертифицированные амбассадоры бренда; стандартизация демонстраций</t>
        </is>
      </c>
    </row>
    <row r="8" ht="60" customHeight="1">
      <c r="B8" s="5" t="inlineStr">
        <is>
          <t>IV. Диджитал и коммуникации</t>
        </is>
      </c>
      <c r="C8" s="5" t="n">
        <v>5</v>
      </c>
      <c r="D8" s="5" t="n">
        <v>1580000</v>
      </c>
      <c r="E8" s="5" t="n">
        <v>88</v>
      </c>
      <c r="F8" s="5" t="inlineStr">
        <is>
          <t>Сен 2026 — ongoing</t>
        </is>
      </c>
      <c r="G8" s="5" t="inlineStr">
        <is>
          <t>Цифровые инструменты продаж: сайт, видео, 3D-тур; работает 24/7 как «виртуальный продавец»</t>
        </is>
      </c>
      <c r="H8" s="5" t="inlineStr">
        <is>
          <t>Самостоятельный выбор на сайте; видео-инструкции; виртуальная экскурсия по заводу; осознанное решение</t>
        </is>
      </c>
      <c r="I8" s="5" t="inlineStr">
        <is>
          <t>Цифровое лидерство; SEO-трафик; лидогенерация; собственная медиаплатформа; автоматизация привлечения</t>
        </is>
      </c>
    </row>
    <row r="9" ht="60" customHeight="1">
      <c r="B9" s="3" t="inlineStr">
        <is>
          <t>V. Продажи и партнёрство</t>
        </is>
      </c>
      <c r="C9" s="3" t="n">
        <v>4</v>
      </c>
      <c r="D9" s="3" t="n">
        <v>760000</v>
      </c>
      <c r="E9" s="3" t="n">
        <v>83</v>
      </c>
      <c r="F9" s="3" t="inlineStr">
        <is>
          <t>Июль 2026 — ongoing</t>
        </is>
      </c>
      <c r="G9" s="3" t="inlineStr">
        <is>
          <t>Персональное внимание; выездные демонстрации; систематическая поддержка; рост продаж в дни мероприятий</t>
        </is>
      </c>
      <c r="H9" s="3" t="inlineStr">
        <is>
          <t>Больше точек продаж; регулярный доступ к экспертам; наглядная разница вживую</t>
        </is>
      </c>
      <c r="I9" s="3" t="inlineStr">
        <is>
          <t>Системная работа с базой; покрытие белых пятен; конвейер мероприятий; предсказуемый рост</t>
        </is>
      </c>
    </row>
    <row r="10" ht="60" customHeight="1">
      <c r="B10" s="9" t="inlineStr">
        <is>
          <t>ИТОГО</t>
        </is>
      </c>
      <c r="C10" s="9">
        <f>SUM(C5:C9)</f>
        <v/>
      </c>
      <c r="D10" s="10">
        <f>SUM(D5:D9)</f>
        <v/>
      </c>
      <c r="E10" s="10">
        <f>SUM(E5:E9)</f>
        <v/>
      </c>
      <c r="F10" s="9" t="n"/>
      <c r="G10" s="9" t="n"/>
      <c r="H10" s="9" t="n"/>
      <c r="I10" s="9" t="n"/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10" customWidth="1" min="4" max="4"/>
    <col width="18" customWidth="1" min="5" max="5"/>
    <col width="22" customWidth="1" min="6" max="6"/>
    <col width="24" customWidth="1" min="7" max="7"/>
    <col width="16" customWidth="1" min="8" max="8"/>
    <col width="18" customWidth="1" min="9" max="9"/>
  </cols>
  <sheetData>
    <row r="1" ht="15" customHeight="1"/>
    <row r="2" ht="32" customHeight="1">
      <c r="B2" s="1" t="inlineStr">
        <is>
          <t>KPI и контроль результатов программы внедрения</t>
        </is>
      </c>
    </row>
    <row r="3" ht="8" customHeight="1"/>
    <row r="4" ht="28" customHeight="1">
      <c r="B4" s="2" t="inlineStr">
        <is>
          <t>№</t>
        </is>
      </c>
      <c r="C4" s="2" t="inlineStr">
        <is>
          <t>Показатель</t>
        </is>
      </c>
      <c r="D4" s="2" t="inlineStr">
        <is>
          <t>Ед. изм.</t>
        </is>
      </c>
      <c r="E4" s="2" t="inlineStr">
        <is>
          <t>Базовое значение</t>
        </is>
      </c>
      <c r="F4" s="2" t="inlineStr">
        <is>
          <t>Целевое значение (12 мес.)</t>
        </is>
      </c>
      <c r="G4" s="2" t="inlineStr">
        <is>
          <t>Метод измерения</t>
        </is>
      </c>
      <c r="H4" s="2" t="inlineStr">
        <is>
          <t>Частота контроля</t>
        </is>
      </c>
      <c r="I4" s="2" t="inlineStr">
        <is>
          <t>Ответственный</t>
        </is>
      </c>
    </row>
    <row r="5" ht="22" customHeight="1">
      <c r="B5" s="11" t="inlineStr">
        <is>
          <t>1</t>
        </is>
      </c>
      <c r="C5" s="11" t="inlineStr">
        <is>
          <t>Доля премиума в выручке</t>
        </is>
      </c>
      <c r="D5" s="11" t="inlineStr">
        <is>
          <t>%</t>
        </is>
      </c>
      <c r="E5" s="11" t="inlineStr">
        <is>
          <t>9%</t>
        </is>
      </c>
      <c r="F5" s="11" t="inlineStr">
        <is>
          <t>15%</t>
        </is>
      </c>
      <c r="G5" s="11" t="inlineStr">
        <is>
          <t>Отчёт по сегментам продаж</t>
        </is>
      </c>
      <c r="H5" s="11" t="inlineStr">
        <is>
          <t>Ежемесячно</t>
        </is>
      </c>
      <c r="I5" s="11" t="inlineStr">
        <is>
          <t>Коммерческий директор</t>
        </is>
      </c>
    </row>
    <row r="6" ht="22" customHeight="1">
      <c r="B6" s="12" t="inlineStr">
        <is>
          <t>2</t>
        </is>
      </c>
      <c r="C6" s="12" t="inlineStr">
        <is>
          <t>Средний чек по технологическим цепочкам</t>
        </is>
      </c>
      <c r="D6" s="12" t="inlineStr">
        <is>
          <t>₽</t>
        </is>
      </c>
      <c r="E6" s="12" t="inlineStr">
        <is>
          <t>300 (1 банка)</t>
        </is>
      </c>
      <c r="F6" s="12" t="inlineStr">
        <is>
          <t>1 200 (цепочка)</t>
        </is>
      </c>
      <c r="G6" s="12" t="inlineStr">
        <is>
          <t>CRM / Аналитика</t>
        </is>
      </c>
      <c r="H6" s="12" t="inlineStr">
        <is>
          <t>Ежемесячно</t>
        </is>
      </c>
      <c r="I6" s="12" t="inlineStr">
        <is>
          <t>Маркетинг</t>
        </is>
      </c>
    </row>
    <row r="7" ht="22" customHeight="1">
      <c r="B7" s="11" t="inlineStr">
        <is>
          <t>3</t>
        </is>
      </c>
      <c r="C7" s="11" t="inlineStr">
        <is>
          <t>Партнёры, перешедшие на продажи решений</t>
        </is>
      </c>
      <c r="D7" s="11" t="inlineStr">
        <is>
          <t>шт.</t>
        </is>
      </c>
      <c r="E7" s="11" t="inlineStr">
        <is>
          <t>0</t>
        </is>
      </c>
      <c r="F7" s="11" t="inlineStr">
        <is>
          <t>30</t>
        </is>
      </c>
      <c r="G7" s="11" t="inlineStr">
        <is>
          <t>CRM + отчёты РП</t>
        </is>
      </c>
      <c r="H7" s="11" t="inlineStr">
        <is>
          <t>Ежеквартально</t>
        </is>
      </c>
      <c r="I7" s="11" t="inlineStr">
        <is>
          <t>Продажи</t>
        </is>
      </c>
    </row>
    <row r="8" ht="22" customHeight="1">
      <c r="B8" s="12" t="inlineStr">
        <is>
          <t>4</t>
        </is>
      </c>
      <c r="C8" s="12" t="inlineStr">
        <is>
          <t>Конверсия TCO-калькулятора</t>
        </is>
      </c>
      <c r="D8" s="12" t="inlineStr">
        <is>
          <t>%</t>
        </is>
      </c>
      <c r="E8" s="12" t="inlineStr">
        <is>
          <t>—</t>
        </is>
      </c>
      <c r="F8" s="12" t="inlineStr">
        <is>
          <t>25%</t>
        </is>
      </c>
      <c r="G8" s="12" t="inlineStr">
        <is>
          <t>Аналитика сайта + CRM</t>
        </is>
      </c>
      <c r="H8" s="12" t="inlineStr">
        <is>
          <t>Ежемесячно</t>
        </is>
      </c>
      <c r="I8" s="12" t="inlineStr">
        <is>
          <t>IT + Маркетинг</t>
        </is>
      </c>
    </row>
    <row r="9" ht="22" customHeight="1">
      <c r="B9" s="11" t="inlineStr">
        <is>
          <t>5</t>
        </is>
      </c>
      <c r="C9" s="11" t="inlineStr">
        <is>
          <t>Полевые демонстрации в месяц</t>
        </is>
      </c>
      <c r="D9" s="11" t="inlineStr">
        <is>
          <t>шт./мес.</t>
        </is>
      </c>
      <c r="E9" s="11" t="inlineStr">
        <is>
          <t>0</t>
        </is>
      </c>
      <c r="F9" s="11" t="inlineStr">
        <is>
          <t>10</t>
        </is>
      </c>
      <c r="G9" s="11" t="inlineStr">
        <is>
          <t>Отчёты ОУП</t>
        </is>
      </c>
      <c r="H9" s="11" t="inlineStr">
        <is>
          <t>Ежемесячно</t>
        </is>
      </c>
      <c r="I9" s="11" t="inlineStr">
        <is>
          <t>ОУП</t>
        </is>
      </c>
    </row>
    <row r="10" ht="22" customHeight="1">
      <c r="B10" s="12" t="inlineStr">
        <is>
          <t>6</t>
        </is>
      </c>
      <c r="C10" s="12" t="inlineStr">
        <is>
          <t>Сертифицированных «Эксперт Эмпилс»</t>
        </is>
      </c>
      <c r="D10" s="12" t="inlineStr">
        <is>
          <t>чел.</t>
        </is>
      </c>
      <c r="E10" s="12" t="inlineStr">
        <is>
          <t>0</t>
        </is>
      </c>
      <c r="F10" s="12" t="inlineStr">
        <is>
          <t>100</t>
        </is>
      </c>
      <c r="G10" s="12" t="inlineStr">
        <is>
          <t>Реестр сертификатов</t>
        </is>
      </c>
      <c r="H10" s="12" t="inlineStr">
        <is>
          <t>Ежеквартально</t>
        </is>
      </c>
      <c r="I10" s="12" t="inlineStr">
        <is>
          <t>ОУП</t>
        </is>
      </c>
    </row>
    <row r="11" ht="22" customHeight="1">
      <c r="B11" s="11" t="inlineStr">
        <is>
          <t>7</t>
        </is>
      </c>
      <c r="C11" s="11" t="inlineStr">
        <is>
          <t>Подписчики Rutube-канала</t>
        </is>
      </c>
      <c r="D11" s="11" t="inlineStr">
        <is>
          <t>чел.</t>
        </is>
      </c>
      <c r="E11" s="11" t="inlineStr">
        <is>
          <t>0</t>
        </is>
      </c>
      <c r="F11" s="11" t="inlineStr">
        <is>
          <t>5 000</t>
        </is>
      </c>
      <c r="G11" s="11" t="inlineStr">
        <is>
          <t>Аналитика Rutube</t>
        </is>
      </c>
      <c r="H11" s="11" t="inlineStr">
        <is>
          <t>Ежемесячно</t>
        </is>
      </c>
      <c r="I11" s="11" t="inlineStr">
        <is>
          <t>SMM</t>
        </is>
      </c>
    </row>
    <row r="12" ht="22" customHeight="1">
      <c r="B12" s="12" t="inlineStr">
        <is>
          <t>8</t>
        </is>
      </c>
      <c r="C12" s="12" t="inlineStr">
        <is>
          <t>Новые партнёры через лендинг</t>
        </is>
      </c>
      <c r="D12" s="12" t="inlineStr">
        <is>
          <t>шт.</t>
        </is>
      </c>
      <c r="E12" s="12" t="inlineStr">
        <is>
          <t>0</t>
        </is>
      </c>
      <c r="F12" s="12" t="inlineStr">
        <is>
          <t>50</t>
        </is>
      </c>
      <c r="G12" s="12" t="inlineStr">
        <is>
          <t>CRM (источник лидов)</t>
        </is>
      </c>
      <c r="H12" s="12" t="inlineStr">
        <is>
          <t>Ежемесячно</t>
        </is>
      </c>
      <c r="I12" s="12" t="inlineStr">
        <is>
          <t>Продажи</t>
        </is>
      </c>
    </row>
    <row r="13" ht="22" customHeight="1">
      <c r="B13" s="11" t="inlineStr">
        <is>
          <t>9</t>
        </is>
      </c>
      <c r="C13" s="11" t="inlineStr">
        <is>
          <t>Возврат потерянных партнёров</t>
        </is>
      </c>
      <c r="D13" s="11" t="inlineStr">
        <is>
          <t>%</t>
        </is>
      </c>
      <c r="E13" s="11" t="inlineStr">
        <is>
          <t>0%</t>
        </is>
      </c>
      <c r="F13" s="11" t="inlineStr">
        <is>
          <t>20%</t>
        </is>
      </c>
      <c r="G13" s="11" t="inlineStr">
        <is>
          <t>CRM (статус партнёра)</t>
        </is>
      </c>
      <c r="H13" s="11" t="inlineStr">
        <is>
          <t>Ежеквартально</t>
        </is>
      </c>
      <c r="I13" s="11" t="inlineStr">
        <is>
          <t>Продажи</t>
        </is>
      </c>
    </row>
    <row r="14" ht="22" customHeight="1">
      <c r="B14" s="12" t="inlineStr">
        <is>
          <t>10</t>
        </is>
      </c>
      <c r="C14" s="12" t="inlineStr">
        <is>
          <t>Стоимость года эксплуатации (премиум vs эконом)</t>
        </is>
      </c>
      <c r="D14" s="12" t="inlineStr">
        <is>
          <t>₽/год</t>
        </is>
      </c>
      <c r="E14" s="12" t="inlineStr">
        <is>
          <t>2 447 vs 6 450</t>
        </is>
      </c>
      <c r="F14" s="12" t="inlineStr">
        <is>
          <t>Данные в каждом чеке</t>
        </is>
      </c>
      <c r="G14" s="12" t="inlineStr">
        <is>
          <t>TCO-калькулятор</t>
        </is>
      </c>
      <c r="H14" s="12" t="inlineStr">
        <is>
          <t>Ежеквартально</t>
        </is>
      </c>
      <c r="I14" s="12" t="inlineStr">
        <is>
          <t>Маркетинг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2026-06-18T09:46:36Z</dcterms:created>
  <dcterms:modified xmlns:dcterms="http://purl.org/dc/terms/" xmlns:xsi="http://www.w3.org/2001/XMLSchema-instance" xsi:type="dcterms:W3CDTF">2026-06-18T09:46:36Z</dcterms:modified>
</cp:coreProperties>
</file>