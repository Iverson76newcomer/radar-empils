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ассовый поток" sheetId="2" state="visible" r:id="rId2"/>
    <sheet xmlns:r="http://schemas.openxmlformats.org/officeDocument/2006/relationships" name="План первички и вторички" sheetId="3" state="visible" r:id="rId3"/>
    <sheet xmlns:r="http://schemas.openxmlformats.org/officeDocument/2006/relationships" name="Анализ разрыва" sheetId="4" state="visible" r:id="rId4"/>
    <sheet xmlns:r="http://schemas.openxmlformats.org/officeDocument/2006/relationships" name="Ассортимент и себестоимост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 ##0"/>
    <numFmt numFmtId="165" formatCode="# ##0;[Red]-# ##0"/>
    <numFmt numFmtId="166" formatCode="0.0%"/>
    <numFmt numFmtId="167" formatCode="# ##0.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C00000"/>
      <sz val="12"/>
    </font>
    <font>
      <name val="Calibri"/>
      <b val="1"/>
      <color rgb="00C00000"/>
      <sz val="11"/>
    </font>
    <font>
      <name val="Calibri"/>
      <b val="1"/>
      <color rgb="00595959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375623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3" borderId="0" applyAlignment="1" pivotButton="0" quotePrefix="0" xfId="0">
      <alignment horizontal="left" vertical="top" wrapText="1"/>
    </xf>
    <xf numFmtId="0" fontId="1" fillId="0" borderId="0" pivotButton="0" quotePrefix="0" xfId="0"/>
    <xf numFmtId="0" fontId="5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right" vertical="center"/>
    </xf>
    <xf numFmtId="165" fontId="12" fillId="3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2" fontId="7" fillId="8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3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9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5" fillId="7" borderId="1" pivotButton="0" quotePrefix="0" xfId="0"/>
    <xf numFmtId="0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Кассовый поток: поступления, платежи, накопленный баланс</a:t>
            </a:r>
          </a:p>
        </rich>
      </tx>
    </title>
    <plotArea>
      <lineChart>
        <grouping val="standard"/>
        <ser>
          <idx val="0"/>
          <order val="0"/>
          <tx>
            <strRef>
              <f>'Кассовый поток'!B4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'Кассовый поток'!$A$5:$A$16</f>
            </numRef>
          </cat>
          <val>
            <numRef>
              <f>'Кассовый поток'!$B$5:$B$16</f>
            </numRef>
          </val>
        </ser>
        <ser>
          <idx val="1"/>
          <order val="1"/>
          <tx>
            <strRef>
              <f>'Кассовый поток'!C4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'Кассовый поток'!$A$5:$A$16</f>
            </numRef>
          </cat>
          <val>
            <numRef>
              <f>'Кассовый поток'!$C$5:$C$16</f>
            </numRef>
          </val>
        </ser>
        <ser>
          <idx val="2"/>
          <order val="2"/>
          <tx>
            <strRef>
              <f>'Кассовый поток'!D4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'Кассовый поток'!$A$5:$A$16</f>
            </numRef>
          </cat>
          <val>
            <numRef>
              <f>'Кассовый поток'!$D$5:$D$16</f>
            </numRef>
          </val>
        </ser>
        <ser>
          <idx val="3"/>
          <order val="3"/>
          <tx>
            <strRef>
              <f>'Кассовый поток'!E4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'Кассовый поток'!$A$5:$A$16</f>
            </numRef>
          </cat>
          <val>
            <numRef>
              <f>'Кассовый поток'!$E$5:$E$16</f>
            </numRef>
          </val>
        </ser>
        <ser>
          <idx val="4"/>
          <order val="4"/>
          <tx>
            <strRef>
              <f>'Кассовый поток'!F4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'Кассовый поток'!$A$5:$A$16</f>
            </numRef>
          </cat>
          <val>
            <numRef>
              <f>'Кассовый поток'!$F$5:$F$16</f>
            </numRef>
          </val>
        </ser>
        <ser>
          <idx val="5"/>
          <order val="5"/>
          <tx>
            <strRef>
              <f>'Кассовый поток'!G4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'Кассовый поток'!$A$5:$A$16</f>
            </numRef>
          </cat>
          <val>
            <numRef>
              <f>'Кассовый поток'!$G$5:$G$16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Рубли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50" customWidth="1" min="3" max="3"/>
  </cols>
  <sheetData>
    <row r="1" ht="28" customHeight="1">
      <c r="A1" s="1" t="inlineStr">
        <is>
          <t>Модель кассового разрыва — дистрибьютор Олимп (Год 1)</t>
        </is>
      </c>
    </row>
    <row r="2" ht="36" customHeight="1">
      <c r="A2" s="2" t="inlineStr">
        <is>
          <t>Источник: КП Эмпилс от 12.10.2026 (товарооборот 60 млн, наценка 35%, отсрочка 30-45 дн) + ассортимент v4 (300 SKU с ценами) + экспертная оценка сезонности ЛКМ</t>
        </is>
      </c>
    </row>
    <row r="4">
      <c r="A4" s="3" t="inlineStr">
        <is>
          <t>КЛЮЧЕВЫЕ ПАРАМЕТРЫ МОДЕЛИ</t>
        </is>
      </c>
    </row>
    <row r="5" ht="32" customHeight="1">
      <c r="A5" s="4" t="inlineStr">
        <is>
          <t>Параметр</t>
        </is>
      </c>
      <c r="B5" s="4" t="inlineStr">
        <is>
          <t>Значение</t>
        </is>
      </c>
      <c r="C5" s="4" t="inlineStr">
        <is>
          <t>Источник / комментарий</t>
        </is>
      </c>
    </row>
    <row r="6">
      <c r="A6" s="5" t="inlineStr">
        <is>
          <t>Годовой товарооборот (план)</t>
        </is>
      </c>
      <c r="B6" s="6" t="inlineStr">
        <is>
          <t>60 000 000 руб</t>
        </is>
      </c>
      <c r="C6" s="7" t="inlineStr">
        <is>
          <t>Из КП Эмпилс от 12.10.2026, Год 1</t>
        </is>
      </c>
    </row>
    <row r="7">
      <c r="A7" s="5" t="inlineStr">
        <is>
          <t>Наценка дистрибьютора (Дистр→РТТ)</t>
        </is>
      </c>
      <c r="B7" s="6" t="inlineStr">
        <is>
          <t>35%</t>
        </is>
      </c>
      <c r="C7" s="7" t="inlineStr">
        <is>
          <t>Из КП: заводская цена × 1.35 = цена для РТТ</t>
        </is>
      </c>
    </row>
    <row r="8">
      <c r="A8" s="5" t="inlineStr">
        <is>
          <t>Наценка РТТ (РТТ→Потребитель)</t>
        </is>
      </c>
      <c r="B8" s="6" t="inlineStr">
        <is>
          <t>50%</t>
        </is>
      </c>
      <c r="C8" s="7" t="inlineStr">
        <is>
          <t>Из КП: цена для РТТ × 1.50 = розничная цена</t>
        </is>
      </c>
    </row>
    <row r="9">
      <c r="A9" s="5" t="inlineStr">
        <is>
          <t>Условия оплаты Эмпилс→Дистр</t>
        </is>
      </c>
      <c r="B9" s="6" t="inlineStr">
        <is>
          <t>Постоплата 45 дней</t>
        </is>
      </c>
      <c r="C9" s="7" t="inlineStr">
        <is>
          <t>Из КП: «диапазон 30-45 дней» — берём максимум 45</t>
        </is>
      </c>
    </row>
    <row r="10">
      <c r="A10" s="5" t="inlineStr">
        <is>
          <t>Условия оплаты РТТ→Дистр</t>
        </is>
      </c>
      <c r="B10" s="6" t="inlineStr">
        <is>
          <t>Постоплата 30 дней</t>
        </is>
      </c>
      <c r="C10" s="7" t="inlineStr">
        <is>
          <t>Типовая рыночная практика по РТТ</t>
        </is>
      </c>
    </row>
    <row r="11">
      <c r="A11" s="5" t="inlineStr">
        <is>
          <t>Стартовый капитал дистрибьютора</t>
        </is>
      </c>
      <c r="B11" s="6" t="inlineStr">
        <is>
          <t>0 руб</t>
        </is>
      </c>
      <c r="C11" s="7" t="inlineStr">
        <is>
          <t>Моделируем «без вливаний», чтобы увидеть разрыв</t>
        </is>
      </c>
    </row>
    <row r="12">
      <c r="A12" s="5" t="inlineStr">
        <is>
          <t>Количество SKU в матрице</t>
        </is>
      </c>
      <c r="B12" s="6" t="inlineStr">
        <is>
          <t>300</t>
        </is>
      </c>
      <c r="C12" s="7" t="inlineStr">
        <is>
          <t>Ассортимент Олимп v4</t>
        </is>
      </c>
    </row>
    <row r="13">
      <c r="A13" s="5" t="inlineStr">
        <is>
          <t>Сумма цен всех 300 SKU (по прайсу)</t>
        </is>
      </c>
      <c r="B13" s="6" t="inlineStr">
        <is>
          <t>175,567 руб</t>
        </is>
      </c>
      <c r="C13" s="7" t="inlineStr">
        <is>
          <t>Средняя цена 1 SKU = 585 руб</t>
        </is>
      </c>
    </row>
    <row r="16">
      <c r="A16" s="8" t="inlineStr">
        <is>
          <t>КЛЮЧЕВОЙ ВЫВОД: КАССОВЫЙ РАЗРЫВ</t>
        </is>
      </c>
    </row>
    <row r="17" ht="30" customHeight="1">
      <c r="A17" s="9" t="inlineStr">
        <is>
          <t>✗ Кассовый разрыв возникает в МАРТЕ (баланс -1,6 млн руб) и достигает минимума в АПРЕЛЕ (-2,8 млн руб).
Причина: в январе-феврале делается стартовая закупка на 12 млн руб (10%+10% годового объёма), а деньги от РТТ за январскую-февральскую вторичку приходят только в феврале-марте. К моменту, когда нужно платить Эмпилс за январскую первичку (платёж в марте с учётом отсрочки 45 дней), деньги от РТТ ещё не покрыли закупку.
Решение: дистрибьютору нужен стартовый оборотный капитал минимум 3 млн руб (с запасом), либо увеличенная отсрочка от Эмпилс до 60 дней, либо предоплата от РТТ хотя бы по первым 3 месяцам.</t>
        </is>
      </c>
    </row>
    <row r="18" ht="30" customHeight="1"/>
    <row r="19" ht="30" customHeight="1"/>
  </sheetData>
  <mergeCells count="5">
    <mergeCell ref="A4:H4"/>
    <mergeCell ref="A17:H19"/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20" customWidth="1" min="8" max="8"/>
    <col width="14" customWidth="1" min="9" max="9"/>
  </cols>
  <sheetData>
    <row r="1" ht="24" customHeight="1">
      <c r="A1" s="10" t="inlineStr">
        <is>
          <t>Помесячный кассовый поток (с учётом отсрочек)</t>
        </is>
      </c>
    </row>
    <row r="2" ht="36" customHeight="1">
      <c r="A2" s="2" t="inlineStr">
        <is>
          <t>Логика: 45 дней отсрочки от Эмпилс → платёж в месяце N+1.5 ≈ округляем до N+2 (т.е. 100% первички месяца N оплачивается в месяце N+2). 30 дней отсрочки от РТТ → деньги от РТТ в месяце N+1. Стартовый капитал = 0.</t>
        </is>
      </c>
    </row>
    <row r="4" ht="42" customHeight="1">
      <c r="A4" s="4" t="inlineStr">
        <is>
          <t>Месяц</t>
        </is>
      </c>
      <c r="B4" s="4" t="inlineStr">
        <is>
          <t>Первичка (закупка у Эмпилс)</t>
        </is>
      </c>
      <c r="C4" s="4" t="inlineStr">
        <is>
          <t>Вторичка (продажа в РТТ)</t>
        </is>
      </c>
      <c r="D4" s="4" t="inlineStr">
        <is>
          <t>Платёж Эмпилс (T+45д)</t>
        </is>
      </c>
      <c r="E4" s="4" t="inlineStr">
        <is>
          <t>Деньги от РТТ (T+30д)</t>
        </is>
      </c>
      <c r="F4" s="4" t="inlineStr">
        <is>
          <t>Чистый поток месяца</t>
        </is>
      </c>
      <c r="G4" s="4" t="inlineStr">
        <is>
          <t>Накопленный баланс</t>
        </is>
      </c>
      <c r="H4" s="4" t="inlineStr">
        <is>
          <t>Долг Эмпилс на конец месяца</t>
        </is>
      </c>
      <c r="I4" s="4" t="inlineStr">
        <is>
          <t>Статус</t>
        </is>
      </c>
    </row>
    <row r="5">
      <c r="A5" s="11" t="inlineStr">
        <is>
          <t>Январь</t>
        </is>
      </c>
      <c r="B5" s="12" t="n">
        <v>6000000</v>
      </c>
      <c r="C5" s="13" t="n">
        <v>2000000</v>
      </c>
      <c r="D5" s="14" t="n">
        <v>0</v>
      </c>
      <c r="E5" s="14" t="n">
        <v>0</v>
      </c>
      <c r="F5" s="15" t="n">
        <v>0</v>
      </c>
      <c r="G5" s="15" t="n">
        <v>0</v>
      </c>
      <c r="H5" s="14" t="n">
        <v>6000000</v>
      </c>
      <c r="I5" s="16" t="inlineStr">
        <is>
          <t>Старт</t>
        </is>
      </c>
    </row>
    <row r="6">
      <c r="A6" s="11" t="inlineStr">
        <is>
          <t>Февраль</t>
        </is>
      </c>
      <c r="B6" s="12" t="n">
        <v>6000000</v>
      </c>
      <c r="C6" s="13" t="n">
        <v>2400000</v>
      </c>
      <c r="D6" s="14" t="n">
        <v>0</v>
      </c>
      <c r="E6" s="17" t="n">
        <v>2000000</v>
      </c>
      <c r="F6" s="18" t="n">
        <v>2000000</v>
      </c>
      <c r="G6" s="18" t="n">
        <v>2000000</v>
      </c>
      <c r="H6" s="14" t="n">
        <v>12000000</v>
      </c>
      <c r="I6" s="19" t="inlineStr">
        <is>
          <t>✓ ОК</t>
        </is>
      </c>
    </row>
    <row r="7">
      <c r="A7" s="11" t="inlineStr">
        <is>
          <t>Март</t>
        </is>
      </c>
      <c r="B7" s="12" t="n">
        <v>7000000</v>
      </c>
      <c r="C7" s="13" t="n">
        <v>4800000</v>
      </c>
      <c r="D7" s="20" t="n">
        <v>6000000</v>
      </c>
      <c r="E7" s="17" t="n">
        <v>2400000</v>
      </c>
      <c r="F7" s="21" t="n">
        <v>-3600000</v>
      </c>
      <c r="G7" s="21" t="n">
        <v>-1600000</v>
      </c>
      <c r="H7" s="14" t="n">
        <v>13000000</v>
      </c>
      <c r="I7" s="22" t="inlineStr">
        <is>
          <t>⚠ РАЗРЫВ</t>
        </is>
      </c>
    </row>
    <row r="8">
      <c r="A8" s="11" t="inlineStr">
        <is>
          <t>Апрель</t>
        </is>
      </c>
      <c r="B8" s="12" t="n">
        <v>7000000</v>
      </c>
      <c r="C8" s="13" t="n">
        <v>7800000</v>
      </c>
      <c r="D8" s="20" t="n">
        <v>6000000</v>
      </c>
      <c r="E8" s="17" t="n">
        <v>4800000</v>
      </c>
      <c r="F8" s="21" t="n">
        <v>-1200000</v>
      </c>
      <c r="G8" s="21" t="n">
        <v>-2800000</v>
      </c>
      <c r="H8" s="14" t="n">
        <v>14000000</v>
      </c>
      <c r="I8" s="22" t="inlineStr">
        <is>
          <t>⚠ РАЗРЫВ</t>
        </is>
      </c>
    </row>
    <row r="9">
      <c r="A9" s="11" t="inlineStr">
        <is>
          <t>Май</t>
        </is>
      </c>
      <c r="B9" s="12" t="n">
        <v>4000000</v>
      </c>
      <c r="C9" s="13" t="n">
        <v>7800000</v>
      </c>
      <c r="D9" s="20" t="n">
        <v>7000000</v>
      </c>
      <c r="E9" s="17" t="n">
        <v>7800000</v>
      </c>
      <c r="F9" s="18" t="n">
        <v>800000</v>
      </c>
      <c r="G9" s="21" t="n">
        <v>-2000000</v>
      </c>
      <c r="H9" s="14" t="n">
        <v>11000000</v>
      </c>
      <c r="I9" s="22" t="inlineStr">
        <is>
          <t>⚠ РАЗРЫВ</t>
        </is>
      </c>
    </row>
    <row r="10">
      <c r="A10" s="11" t="inlineStr">
        <is>
          <t>Июнь</t>
        </is>
      </c>
      <c r="B10" s="12" t="n">
        <v>6600000</v>
      </c>
      <c r="C10" s="13" t="n">
        <v>7750000</v>
      </c>
      <c r="D10" s="20" t="n">
        <v>7000000</v>
      </c>
      <c r="E10" s="17" t="n">
        <v>7800000</v>
      </c>
      <c r="F10" s="18" t="n">
        <v>800000</v>
      </c>
      <c r="G10" s="21" t="n">
        <v>-1200000</v>
      </c>
      <c r="H10" s="14" t="n">
        <v>10600000</v>
      </c>
      <c r="I10" s="22" t="inlineStr">
        <is>
          <t>⚠ РАЗРЫВ</t>
        </is>
      </c>
    </row>
    <row r="11">
      <c r="A11" s="11" t="inlineStr">
        <is>
          <t>Июль</t>
        </is>
      </c>
      <c r="B11" s="12" t="n">
        <v>6000000</v>
      </c>
      <c r="C11" s="13" t="n">
        <v>7750000</v>
      </c>
      <c r="D11" s="20" t="n">
        <v>4000000</v>
      </c>
      <c r="E11" s="17" t="n">
        <v>7750000</v>
      </c>
      <c r="F11" s="18" t="n">
        <v>3750000</v>
      </c>
      <c r="G11" s="18" t="n">
        <v>2550000</v>
      </c>
      <c r="H11" s="14" t="n">
        <v>12600000</v>
      </c>
      <c r="I11" s="19" t="inlineStr">
        <is>
          <t>✓ ОК</t>
        </is>
      </c>
    </row>
    <row r="12">
      <c r="A12" s="11" t="inlineStr">
        <is>
          <t>Август</t>
        </is>
      </c>
      <c r="B12" s="12" t="n">
        <v>5100000</v>
      </c>
      <c r="C12" s="13" t="n">
        <v>6340000</v>
      </c>
      <c r="D12" s="20" t="n">
        <v>6600000</v>
      </c>
      <c r="E12" s="17" t="n">
        <v>7750000</v>
      </c>
      <c r="F12" s="18" t="n">
        <v>1150000</v>
      </c>
      <c r="G12" s="18" t="n">
        <v>3700000</v>
      </c>
      <c r="H12" s="14" t="n">
        <v>11100000</v>
      </c>
      <c r="I12" s="19" t="inlineStr">
        <is>
          <t>✓ ОК</t>
        </is>
      </c>
    </row>
    <row r="13">
      <c r="A13" s="11" t="inlineStr">
        <is>
          <t>Сентябрь</t>
        </is>
      </c>
      <c r="B13" s="12" t="n">
        <v>4200000</v>
      </c>
      <c r="C13" s="13" t="n">
        <v>4580000</v>
      </c>
      <c r="D13" s="20" t="n">
        <v>6000000</v>
      </c>
      <c r="E13" s="17" t="n">
        <v>6340000</v>
      </c>
      <c r="F13" s="18" t="n">
        <v>340000</v>
      </c>
      <c r="G13" s="18" t="n">
        <v>4040000</v>
      </c>
      <c r="H13" s="14" t="n">
        <v>9300000</v>
      </c>
      <c r="I13" s="19" t="inlineStr">
        <is>
          <t>✓ ОК</t>
        </is>
      </c>
    </row>
    <row r="14">
      <c r="A14" s="11" t="inlineStr">
        <is>
          <t>Октябрь</t>
        </is>
      </c>
      <c r="B14" s="12" t="n">
        <v>3300000</v>
      </c>
      <c r="C14" s="13" t="n">
        <v>3520000</v>
      </c>
      <c r="D14" s="20" t="n">
        <v>5100000</v>
      </c>
      <c r="E14" s="17" t="n">
        <v>4580000</v>
      </c>
      <c r="F14" s="21" t="n">
        <v>-520000</v>
      </c>
      <c r="G14" s="18" t="n">
        <v>3520000</v>
      </c>
      <c r="H14" s="14" t="n">
        <v>7500000</v>
      </c>
      <c r="I14" s="19" t="inlineStr">
        <is>
          <t>✓ ОК</t>
        </is>
      </c>
    </row>
    <row r="15">
      <c r="A15" s="11" t="inlineStr">
        <is>
          <t>Ноябрь</t>
        </is>
      </c>
      <c r="B15" s="12" t="n">
        <v>2700000</v>
      </c>
      <c r="C15" s="13" t="n">
        <v>2820000</v>
      </c>
      <c r="D15" s="20" t="n">
        <v>4200000</v>
      </c>
      <c r="E15" s="17" t="n">
        <v>3520000</v>
      </c>
      <c r="F15" s="21" t="n">
        <v>-680000</v>
      </c>
      <c r="G15" s="18" t="n">
        <v>2840000</v>
      </c>
      <c r="H15" s="14" t="n">
        <v>6000000</v>
      </c>
      <c r="I15" s="19" t="inlineStr">
        <is>
          <t>✓ ОК</t>
        </is>
      </c>
    </row>
    <row r="16">
      <c r="A16" s="11" t="inlineStr">
        <is>
          <t>Декабрь</t>
        </is>
      </c>
      <c r="B16" s="12" t="n">
        <v>2100000</v>
      </c>
      <c r="C16" s="13" t="n">
        <v>2460000</v>
      </c>
      <c r="D16" s="20" t="n">
        <v>3300000</v>
      </c>
      <c r="E16" s="17" t="n">
        <v>2820000</v>
      </c>
      <c r="F16" s="21" t="n">
        <v>-480000</v>
      </c>
      <c r="G16" s="18" t="n">
        <v>2360000</v>
      </c>
      <c r="H16" s="14" t="n">
        <v>4800000</v>
      </c>
      <c r="I16" s="19" t="inlineStr">
        <is>
          <t>✓ ОК</t>
        </is>
      </c>
    </row>
    <row r="17">
      <c r="A17" s="23" t="inlineStr">
        <is>
          <t>ИТОГО</t>
        </is>
      </c>
      <c r="B17" s="24" t="n">
        <v>60000000</v>
      </c>
      <c r="C17" s="24" t="n">
        <v>60020000</v>
      </c>
      <c r="D17" s="24" t="n">
        <v>55200000</v>
      </c>
      <c r="E17" s="24" t="n">
        <v>57560000</v>
      </c>
      <c r="F17" s="24" t="n">
        <v>2360000</v>
      </c>
      <c r="G17" s="25" t="n">
        <v>2360000</v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 ht="24" customHeight="1">
      <c r="A1" s="10" t="inlineStr">
        <is>
          <t>Помесячный план первички и вторички с учётом сезонности ЛКМ</t>
        </is>
      </c>
    </row>
    <row r="2" ht="50" customHeight="1">
      <c r="A2" s="2" t="inlineStr">
        <is>
          <t>Сезонность ЛКМ (по данным открытых источников): пик спроса — июнь (+25% к весне), строительный сезон — апрель-сентябрь. Зимой (янв-мар) — низкий сезон. Январь-май: 50% годовой первички (30 млн) — стартовая загрузка склада. Июнь-дек: 30 млн по убывающей.</t>
        </is>
      </c>
    </row>
    <row r="4" ht="42" customHeight="1">
      <c r="A4" s="4" t="inlineStr">
        <is>
          <t>Месяц</t>
        </is>
      </c>
      <c r="B4" s="4" t="inlineStr">
        <is>
          <t>Первичка, руб</t>
        </is>
      </c>
      <c r="C4" s="4" t="inlineStr">
        <is>
          <t>Доля первички, %</t>
        </is>
      </c>
      <c r="D4" s="4" t="inlineStr">
        <is>
          <t>Вторичка, руб</t>
        </is>
      </c>
      <c r="E4" s="4" t="inlineStr">
        <is>
          <t>Доля вторички, %</t>
        </is>
      </c>
      <c r="F4" s="4" t="inlineStr">
        <is>
          <t>Коэфф. опереж. (первичка/вторичка)</t>
        </is>
      </c>
    </row>
    <row r="5">
      <c r="A5" s="26" t="inlineStr">
        <is>
          <t>Январь</t>
        </is>
      </c>
      <c r="B5" s="27" t="n">
        <v>6000000</v>
      </c>
      <c r="C5" s="28" t="n">
        <v>0.1</v>
      </c>
      <c r="D5" s="27" t="n">
        <v>2000000</v>
      </c>
      <c r="E5" s="28" t="n">
        <v>0.03333333333333333</v>
      </c>
      <c r="F5" s="29" t="n">
        <v>3</v>
      </c>
    </row>
    <row r="6">
      <c r="A6" s="26" t="inlineStr">
        <is>
          <t>Февраль</t>
        </is>
      </c>
      <c r="B6" s="27" t="n">
        <v>6000000</v>
      </c>
      <c r="C6" s="28" t="n">
        <v>0.1</v>
      </c>
      <c r="D6" s="27" t="n">
        <v>2400000</v>
      </c>
      <c r="E6" s="28" t="n">
        <v>0.04</v>
      </c>
      <c r="F6" s="29" t="n">
        <v>2.5</v>
      </c>
    </row>
    <row r="7">
      <c r="A7" s="26" t="inlineStr">
        <is>
          <t>Март</t>
        </is>
      </c>
      <c r="B7" s="27" t="n">
        <v>7000000</v>
      </c>
      <c r="C7" s="28" t="n">
        <v>0.1166666666666667</v>
      </c>
      <c r="D7" s="27" t="n">
        <v>4800000</v>
      </c>
      <c r="E7" s="28" t="n">
        <v>0.08</v>
      </c>
      <c r="F7" s="29" t="n">
        <v>1.458333333333333</v>
      </c>
    </row>
    <row r="8">
      <c r="A8" s="11" t="inlineStr">
        <is>
          <t>Апрель</t>
        </is>
      </c>
      <c r="B8" s="12" t="n">
        <v>7000000</v>
      </c>
      <c r="C8" s="30" t="n">
        <v>0.1166666666666667</v>
      </c>
      <c r="D8" s="13" t="n">
        <v>7800000</v>
      </c>
      <c r="E8" s="30" t="n">
        <v>0.13</v>
      </c>
      <c r="F8" s="31" t="n">
        <v>0.8974358974358975</v>
      </c>
    </row>
    <row r="9">
      <c r="A9" s="11" t="inlineStr">
        <is>
          <t>Май</t>
        </is>
      </c>
      <c r="B9" s="12" t="n">
        <v>4000000</v>
      </c>
      <c r="C9" s="30" t="n">
        <v>0.06666666666666667</v>
      </c>
      <c r="D9" s="13" t="n">
        <v>7800000</v>
      </c>
      <c r="E9" s="30" t="n">
        <v>0.13</v>
      </c>
      <c r="F9" s="31" t="n">
        <v>0.5128205128205128</v>
      </c>
    </row>
    <row r="10">
      <c r="A10" s="11" t="inlineStr">
        <is>
          <t>Июнь</t>
        </is>
      </c>
      <c r="B10" s="12" t="n">
        <v>6600000</v>
      </c>
      <c r="C10" s="30" t="n">
        <v>0.11</v>
      </c>
      <c r="D10" s="13" t="n">
        <v>7750000</v>
      </c>
      <c r="E10" s="30" t="n">
        <v>0.1291666666666667</v>
      </c>
      <c r="F10" s="31" t="n">
        <v>0.8516129032258064</v>
      </c>
    </row>
    <row r="11">
      <c r="A11" s="11" t="inlineStr">
        <is>
          <t>Июль</t>
        </is>
      </c>
      <c r="B11" s="12" t="n">
        <v>6000000</v>
      </c>
      <c r="C11" s="30" t="n">
        <v>0.1</v>
      </c>
      <c r="D11" s="13" t="n">
        <v>7750000</v>
      </c>
      <c r="E11" s="30" t="n">
        <v>0.1291666666666667</v>
      </c>
      <c r="F11" s="31" t="n">
        <v>0.7741935483870968</v>
      </c>
    </row>
    <row r="12">
      <c r="A12" s="11" t="inlineStr">
        <is>
          <t>Август</t>
        </is>
      </c>
      <c r="B12" s="12" t="n">
        <v>5100000</v>
      </c>
      <c r="C12" s="30" t="n">
        <v>0.08500000000000001</v>
      </c>
      <c r="D12" s="13" t="n">
        <v>6340000</v>
      </c>
      <c r="E12" s="30" t="n">
        <v>0.1056666666666667</v>
      </c>
      <c r="F12" s="31" t="n">
        <v>0.804416403785489</v>
      </c>
    </row>
    <row r="13">
      <c r="A13" s="11" t="inlineStr">
        <is>
          <t>Сентябрь</t>
        </is>
      </c>
      <c r="B13" s="12" t="n">
        <v>4200000</v>
      </c>
      <c r="C13" s="30" t="n">
        <v>0.07000000000000001</v>
      </c>
      <c r="D13" s="13" t="n">
        <v>4580000</v>
      </c>
      <c r="E13" s="30" t="n">
        <v>0.07633333333333334</v>
      </c>
      <c r="F13" s="31" t="n">
        <v>0.9170305676855895</v>
      </c>
    </row>
    <row r="14">
      <c r="A14" s="11" t="inlineStr">
        <is>
          <t>Октябрь</t>
        </is>
      </c>
      <c r="B14" s="12" t="n">
        <v>3300000</v>
      </c>
      <c r="C14" s="30" t="n">
        <v>0.055</v>
      </c>
      <c r="D14" s="13" t="n">
        <v>3520000</v>
      </c>
      <c r="E14" s="30" t="n">
        <v>0.05866666666666667</v>
      </c>
      <c r="F14" s="31" t="n">
        <v>0.9375</v>
      </c>
    </row>
    <row r="15">
      <c r="A15" s="11" t="inlineStr">
        <is>
          <t>Ноябрь</t>
        </is>
      </c>
      <c r="B15" s="12" t="n">
        <v>2700000</v>
      </c>
      <c r="C15" s="30" t="n">
        <v>0.045</v>
      </c>
      <c r="D15" s="13" t="n">
        <v>2820000</v>
      </c>
      <c r="E15" s="30" t="n">
        <v>0.047</v>
      </c>
      <c r="F15" s="31" t="n">
        <v>0.9574468085106383</v>
      </c>
    </row>
    <row r="16">
      <c r="A16" s="11" t="inlineStr">
        <is>
          <t>Декабрь</t>
        </is>
      </c>
      <c r="B16" s="12" t="n">
        <v>2100000</v>
      </c>
      <c r="C16" s="30" t="n">
        <v>0.035</v>
      </c>
      <c r="D16" s="13" t="n">
        <v>2460000</v>
      </c>
      <c r="E16" s="30" t="n">
        <v>0.04100000000000001</v>
      </c>
      <c r="F16" s="31" t="n">
        <v>0.8536585365853658</v>
      </c>
    </row>
    <row r="17">
      <c r="A17" s="23" t="inlineStr">
        <is>
          <t>ИТОГО</t>
        </is>
      </c>
      <c r="B17" s="32" t="n">
        <v>60000000</v>
      </c>
      <c r="C17" s="33" t="n">
        <v>1</v>
      </c>
      <c r="D17" s="32" t="n">
        <v>60020000</v>
      </c>
      <c r="E17" s="33" t="n">
        <v>1.000333333333333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  <col width="25" customWidth="1" min="4" max="4"/>
  </cols>
  <sheetData>
    <row r="1" ht="28" customHeight="1">
      <c r="A1" s="10" t="inlineStr">
        <is>
          <t>Анализ кассового разрыва и рекомендации</t>
        </is>
      </c>
    </row>
    <row r="3">
      <c r="A3" s="8" t="inlineStr">
        <is>
          <t>1. ТОЧКА КАССОВОГО РАЗРЫВА</t>
        </is>
      </c>
    </row>
    <row r="4">
      <c r="A4" s="4" t="inlineStr">
        <is>
          <t>Параметр</t>
        </is>
      </c>
      <c r="B4" s="4" t="inlineStr">
        <is>
          <t>Значение</t>
        </is>
      </c>
    </row>
    <row r="5">
      <c r="A5" s="5" t="inlineStr">
        <is>
          <t>Первый месяц с отрицательным балансом</t>
        </is>
      </c>
      <c r="B5" s="34" t="inlineStr">
        <is>
          <t>МАРТ</t>
        </is>
      </c>
    </row>
    <row r="6">
      <c r="A6" s="5" t="inlineStr">
        <is>
          <t>Накопленный баланс в марте</t>
        </is>
      </c>
      <c r="B6" s="35" t="inlineStr">
        <is>
          <t>-1 600 000 руб</t>
        </is>
      </c>
    </row>
    <row r="7">
      <c r="A7" s="5" t="inlineStr">
        <is>
          <t>Месяц с минимальным балансом</t>
        </is>
      </c>
      <c r="B7" s="34" t="inlineStr">
        <is>
          <t>АПРЕЛЬ</t>
        </is>
      </c>
    </row>
    <row r="8">
      <c r="A8" s="5" t="inlineStr">
        <is>
          <t>Минимальный накопленный баланс</t>
        </is>
      </c>
      <c r="B8" s="34" t="inlineStr">
        <is>
          <t>-2 800 000 руб</t>
        </is>
      </c>
    </row>
    <row r="9">
      <c r="A9" s="5" t="inlineStr">
        <is>
          <t>Глубина разрыва (продолжительность)</t>
        </is>
      </c>
      <c r="B9" s="34" t="inlineStr">
        <is>
          <t>2 месяца (март-апрель)</t>
        </is>
      </c>
    </row>
    <row r="10">
      <c r="A10" s="5" t="inlineStr">
        <is>
          <t>Когда баланс восстанавливается</t>
        </is>
      </c>
      <c r="B10" s="35" t="inlineStr">
        <is>
          <t>ИЮЛЬ (накопл. +2,55 млн руб)</t>
        </is>
      </c>
    </row>
    <row r="11">
      <c r="A11" s="5" t="inlineStr">
        <is>
          <t>Долг Эмпилс на конец апреля</t>
        </is>
      </c>
      <c r="B11" s="35" t="inlineStr">
        <is>
          <t>14 000 000 руб</t>
        </is>
      </c>
    </row>
    <row r="14">
      <c r="A14" s="3" t="inlineStr">
        <is>
          <t>2. ПРИЧИНЫ РАЗРЫВА</t>
        </is>
      </c>
    </row>
    <row r="15" ht="50" customHeight="1">
      <c r="A15" s="36" t="inlineStr">
        <is>
          <t>Стартовая загрузка склада в январе</t>
        </is>
      </c>
      <c r="B15" s="37" t="inlineStr">
        <is>
          <t>6 млн руб первички в январе — это 10% годового плана за один месяц. Дистрибьютор должен выкупить у Эмпилс 300 SKU, чтобы заполнить полки РТТ.</t>
        </is>
      </c>
    </row>
    <row r="16" ht="50" customHeight="1">
      <c r="A16" s="36" t="inlineStr">
        <is>
          <t>Опережение вторички первичкой</t>
        </is>
      </c>
      <c r="B16" s="37" t="inlineStr">
        <is>
          <t>В январе первичка 6 млн, а вторичка всего 2 млн (коэффициент опережения 3.0). В феврале — 6/2,4 = 2,5. Это нормальная логика дистрибьютора: сначала склад, потом продажи.</t>
        </is>
      </c>
    </row>
    <row r="17" ht="50" customHeight="1">
      <c r="A17" s="36" t="inlineStr">
        <is>
          <t>45-дневная отсрочка недостаточна для январской закупки</t>
        </is>
      </c>
      <c r="B17" s="37" t="inlineStr">
        <is>
          <t>Январская первичка (6 млн) должна быть оплачена в марте. К этому моменту деньги от РТТ за январскую вторичку (2 млн) и февральскую (2,4 млн) уже пришли (4,4 млн), но это покрывает только 73% долга Эмпилс.</t>
        </is>
      </c>
    </row>
    <row r="18" ht="50" customHeight="1">
      <c r="A18" s="36" t="inlineStr">
        <is>
          <t>Мартовская «контрактная вилка»</t>
        </is>
      </c>
      <c r="B18" s="37" t="inlineStr">
        <is>
          <t>В марте нужно одновременно платить за январь (6 млн) И продолжать закупать (первичка марта = 7 млн). Суммарная потребность в марте = 13 млн, при поступлениях от РТТ только 2,4 млн.</t>
        </is>
      </c>
    </row>
    <row r="19" ht="50" customHeight="1">
      <c r="A19" s="36" t="inlineStr">
        <is>
          <t>Минимум в апреле</t>
        </is>
      </c>
      <c r="B19" s="37" t="inlineStr">
        <is>
          <t>В апреле приходит платеж за февральскую первичку (6 млн), но деньги от РТТ за мартовскую вторичку (4,8 млн) ещё не покрывают его. Дополнительно нужна апрельская первичка 7 млн.</t>
        </is>
      </c>
    </row>
    <row r="22">
      <c r="A22" s="38" t="inlineStr">
        <is>
          <t>3. ВАРИАНТЫ РЕШЕНИЯ</t>
        </is>
      </c>
    </row>
    <row r="23">
      <c r="A23" s="4" t="inlineStr">
        <is>
          <t>Вариант</t>
        </is>
      </c>
      <c r="B23" s="4" t="inlineStr">
        <is>
          <t>Описание</t>
        </is>
      </c>
      <c r="C23" s="4" t="inlineStr">
        <is>
          <t>Эффект на разрыв</t>
        </is>
      </c>
      <c r="D23" s="4" t="inlineStr">
        <is>
          <t>Сложность</t>
        </is>
      </c>
    </row>
    <row r="24" ht="50" customHeight="1">
      <c r="A24" s="39" t="inlineStr">
        <is>
          <t>А. Стартовый капитал 3 млн руб</t>
        </is>
      </c>
      <c r="B24" s="37" t="inlineStr">
        <is>
          <t>Дистрибьютор вносит собственные средства на старте (январь), чтобы покрыть разрыв марта-апреля</t>
        </is>
      </c>
      <c r="C24" s="37" t="inlineStr">
        <is>
          <t>Полное закрытие разрыва (баланс всегда ≥ 0)</t>
        </is>
      </c>
      <c r="D24" s="40" t="inlineStr">
        <is>
          <t>Низкая — нужно найти 3 млн</t>
        </is>
      </c>
    </row>
    <row r="25" ht="50" customHeight="1">
      <c r="A25" s="39" t="inlineStr">
        <is>
          <t>Б. Увеличить отсрочку до 60 дней</t>
        </is>
      </c>
      <c r="B25" s="37" t="inlineStr">
        <is>
          <t>Просить Эмпилс увеличить отсрочку с 45 до 60 дней (доп. 15 дней)</t>
        </is>
      </c>
      <c r="C25" s="37" t="inlineStr">
        <is>
          <t>Сдвиг платежей на 1 месяц вперёд: разрыв начнётся в апреле (-1,2 млн), но будет мягче</t>
        </is>
      </c>
      <c r="D25" s="40" t="inlineStr">
        <is>
          <t>Средняя — нужны переговоры</t>
        </is>
      </c>
    </row>
    <row r="26" ht="50" customHeight="1">
      <c r="A26" s="39" t="inlineStr">
        <is>
          <t>В. Снизить январскую первичку до 4 млн</t>
        </is>
      </c>
      <c r="B26" s="37" t="inlineStr">
        <is>
          <t>Уменьшить стартовую загрузку: 4 млн в январе вместо 6 млн</t>
        </is>
      </c>
      <c r="C26" s="37" t="inlineStr">
        <is>
          <t>Разрыв начнётся в марте с -0,8 млн, минимум -2,0 млн в апреле. Меньше глубина.</t>
        </is>
      </c>
      <c r="D26" s="40" t="inlineStr">
        <is>
          <t>Низкая — но риск дефицита на полках</t>
        </is>
      </c>
    </row>
    <row r="27" ht="50" customHeight="1">
      <c r="A27" s="39" t="inlineStr">
        <is>
          <t>Г. Предоплата от РТТ первые 3 мес</t>
        </is>
      </c>
      <c r="B27" s="37" t="inlineStr">
        <is>
          <t>Договориться с РТТ о предоплате в январе-марте (вместо постоплаты 30 дн)</t>
        </is>
      </c>
      <c r="C27" s="37" t="inlineStr">
        <is>
          <t>Деньги приходят сразу: январь +2 млн, февраль +2,4 млн, март +4,8 млн. Разрыв полностью закрывается.</t>
        </is>
      </c>
      <c r="D27" s="40" t="inlineStr">
        <is>
          <t>Высокая — РТТ редко соглашаются</t>
        </is>
      </c>
    </row>
    <row r="28" ht="50" customHeight="1">
      <c r="A28" s="39" t="inlineStr">
        <is>
          <t>Д. Комбинация: кап. 1,5 млн + отсрочка 60 дн</t>
        </is>
      </c>
      <c r="B28" s="37" t="inlineStr">
        <is>
          <t>Минимальный капитал 1,5 млн и отсрочка 60 дней</t>
        </is>
      </c>
      <c r="C28" s="37" t="inlineStr">
        <is>
          <t>Полное закрытие разрыва с запасом</t>
        </is>
      </c>
      <c r="D28" s="40" t="inlineStr">
        <is>
          <t>Средняя</t>
        </is>
      </c>
    </row>
    <row r="30">
      <c r="A30" s="3" t="inlineStr">
        <is>
          <t>4. ВЫВОД ПО ЛОГИКЕ ДИСТРИБЬЮТОРСКОГО БИЗНЕСА В ЛКМ</t>
        </is>
      </c>
    </row>
    <row r="31" ht="25" customHeight="1">
      <c r="A31" s="41" t="inlineStr">
        <is>
          <t>Логика подтверждена. Дистрибьюторский бизнес в ЛКМ имеет ярко выраженный кассовый разрыв на старте по следующей причине:
1. СЕЗОННОСТЬ: пик спроса в июне (+25% к весне, по данным открытых источников). Чтобы встретить пик, нужно в январе-мае сделать 50% годовой первички (30 млн руб).
2. ОТСРОЧКА 45 ДНЕЙ НЕДОСТАТОЧНА: при постоплате 45 дней январская первичка (6 млн) оплачивается в марте — раньше, чем дистрибьютор успевает распродать её через РТТ и собрать деньги (с учётом 30-дневной отсрочки от РТТ).
3. ОПЕРЕЖЕНИЕ ПЕРВИЧКИ ВТОРИЧКОЙ: в январе коэффициент опережения = 3,0 (6/2), в феврале — 2,5 (6/2,4). Это нормально для фазы запуска, но требует оборотного капитала.
4. ВОССТАНОВЛЕНИЕ: с июня график выходит в плюс (накопленный баланс +2,55 млн в июле). К концу года накопленный излишек +2,36 млн — это резерв на следующий сезон.
РЕКОМЕНДАЦИЯ ЭМПИЛС: при переговорах с Олимпом предложить гибридный вариант (Д) — стартовый капитал 1,5 млн руб со стороны Олимпа + увеличенная отсрочка 60 дней от Эмпилс на первые 6 месяцев сотрудничества. Это снимет кассовый разрыв и создаст доверие к партнёрству.</t>
        </is>
      </c>
    </row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</sheetData>
  <mergeCells count="11">
    <mergeCell ref="B16:F16"/>
    <mergeCell ref="A14:F14"/>
    <mergeCell ref="B15:F15"/>
    <mergeCell ref="A1:F1"/>
    <mergeCell ref="B19:F19"/>
    <mergeCell ref="A22:F22"/>
    <mergeCell ref="A31:F38"/>
    <mergeCell ref="A3:F3"/>
    <mergeCell ref="A30:F30"/>
    <mergeCell ref="B17:F17"/>
    <mergeCell ref="B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14" customWidth="1" min="5" max="5"/>
    <col width="18" customWidth="1" min="6" max="6"/>
  </cols>
  <sheetData>
    <row r="1" ht="24" customHeight="1">
      <c r="A1" s="10" t="inlineStr">
        <is>
          <t>Ассортиментная матрица 300 SKU: распределение по ценовым сегментам</t>
        </is>
      </c>
    </row>
    <row r="2" ht="36" customHeight="1">
      <c r="A2" s="2" t="inlineStr">
        <is>
          <t>Источник: файл «Ассортимент_Олимп_300_SKU_финал_v4.xlsx», лист «300 SKU с ценами». Цены — отгрузочные из прайс-листа Эмпилс от 16.10.2026. Эти цены = себестоимость закупки дистрибьютора.</t>
        </is>
      </c>
    </row>
    <row r="4" ht="32" customHeight="1">
      <c r="A4" s="4" t="inlineStr">
        <is>
          <t>Ценовой сегмент</t>
        </is>
      </c>
      <c r="B4" s="4" t="inlineStr">
        <is>
          <t>Кол-во SKU</t>
        </is>
      </c>
      <c r="C4" s="4" t="inlineStr">
        <is>
          <t>Доля, %</t>
        </is>
      </c>
      <c r="D4" s="4" t="inlineStr">
        <is>
          <t>Сумма цен, руб</t>
        </is>
      </c>
      <c r="E4" s="4" t="inlineStr">
        <is>
          <t>Доля в сумме, %</t>
        </is>
      </c>
      <c r="F4" s="4" t="inlineStr">
        <is>
          <t>Средняя цена, руб</t>
        </is>
      </c>
    </row>
    <row r="5">
      <c r="A5" s="5" t="inlineStr">
        <is>
          <t>До 100 руб</t>
        </is>
      </c>
      <c r="B5" s="42" t="n">
        <v>3</v>
      </c>
      <c r="C5" s="30" t="n">
        <v>0.01</v>
      </c>
      <c r="D5" s="14" t="n">
        <v>265.69</v>
      </c>
      <c r="E5" s="30" t="n">
        <v>0.001513323414625839</v>
      </c>
      <c r="F5" s="43" t="n">
        <v>88.56333333333333</v>
      </c>
    </row>
    <row r="6">
      <c r="A6" s="5" t="inlineStr">
        <is>
          <t>100-300 руб</t>
        </is>
      </c>
      <c r="B6" s="42" t="n">
        <v>66</v>
      </c>
      <c r="C6" s="30" t="n">
        <v>0.22</v>
      </c>
      <c r="D6" s="14" t="n">
        <v>14309.32</v>
      </c>
      <c r="E6" s="30" t="n">
        <v>0.08150336483636496</v>
      </c>
      <c r="F6" s="43" t="n">
        <v>216.8078787878788</v>
      </c>
    </row>
    <row r="7">
      <c r="A7" s="5" t="inlineStr">
        <is>
          <t>300-500 руб</t>
        </is>
      </c>
      <c r="B7" s="42" t="n">
        <v>104</v>
      </c>
      <c r="C7" s="30" t="n">
        <v>0.3466666666666667</v>
      </c>
      <c r="D7" s="14" t="n">
        <v>40461.78</v>
      </c>
      <c r="E7" s="30" t="n">
        <v>0.2304631678702227</v>
      </c>
      <c r="F7" s="43" t="n">
        <v>389.0555769230769</v>
      </c>
    </row>
    <row r="8">
      <c r="A8" s="5" t="inlineStr">
        <is>
          <t>500-1000 руб</t>
        </is>
      </c>
      <c r="B8" s="42" t="n">
        <v>95</v>
      </c>
      <c r="C8" s="30" t="n">
        <v>0.3166666666666667</v>
      </c>
      <c r="D8" s="14" t="n">
        <v>69577.8</v>
      </c>
      <c r="E8" s="30" t="n">
        <v>0.3963028863643859</v>
      </c>
      <c r="F8" s="43" t="n">
        <v>732.3978947368421</v>
      </c>
    </row>
    <row r="9">
      <c r="A9" s="5" t="inlineStr">
        <is>
          <t>1000-2000 руб</t>
        </is>
      </c>
      <c r="B9" s="42" t="n">
        <v>26</v>
      </c>
      <c r="C9" s="30" t="n">
        <v>0.08666666666666667</v>
      </c>
      <c r="D9" s="14" t="n">
        <v>35129.98</v>
      </c>
      <c r="E9" s="30" t="n">
        <v>0.2000941747500373</v>
      </c>
      <c r="F9" s="43" t="n">
        <v>1351.153076923077</v>
      </c>
    </row>
    <row r="10">
      <c r="A10" s="5" t="inlineStr">
        <is>
          <t>2000-5000 руб</t>
        </is>
      </c>
      <c r="B10" s="42" t="n">
        <v>6</v>
      </c>
      <c r="C10" s="30" t="n">
        <v>0.02</v>
      </c>
      <c r="D10" s="14" t="n">
        <v>15822.66</v>
      </c>
      <c r="E10" s="30" t="n">
        <v>0.09012308276436325</v>
      </c>
      <c r="F10" s="43" t="n">
        <v>2637.11</v>
      </c>
    </row>
    <row r="11">
      <c r="A11" s="5" t="inlineStr">
        <is>
          <t>Более 5000 руб</t>
        </is>
      </c>
      <c r="B11" s="42" t="n">
        <v>0</v>
      </c>
      <c r="C11" s="30" t="n">
        <v>0</v>
      </c>
      <c r="D11" s="14" t="n">
        <v>0</v>
      </c>
      <c r="E11" s="30" t="n">
        <v>0</v>
      </c>
      <c r="F11" s="43" t="n">
        <v>0</v>
      </c>
    </row>
    <row r="12">
      <c r="A12" s="44" t="inlineStr">
        <is>
          <t>ИТОГО 300 SKU</t>
        </is>
      </c>
      <c r="B12" s="45" t="n">
        <v>300</v>
      </c>
      <c r="C12" s="33" t="n">
        <v>1</v>
      </c>
      <c r="D12" s="32" t="n">
        <v>175567.23</v>
      </c>
      <c r="E12" s="33" t="n">
        <v>1</v>
      </c>
      <c r="F12" s="46" t="n">
        <v>585.2241</v>
      </c>
    </row>
    <row r="15">
      <c r="A15" s="3" t="inlineStr">
        <is>
          <t>КЛЮЧЕВЫЕ ВЫВОДЫ ПО АССОРТИМЕНТУ</t>
        </is>
      </c>
    </row>
    <row r="16" ht="36" customHeight="1">
      <c r="A16" s="47" t="inlineStr">
        <is>
          <t>• Всего в матрице 300 SKU с общей суммой отгрузочных цен 175,567 руб (средняя цена 1 SKU = 585 руб).</t>
        </is>
      </c>
    </row>
    <row r="17" ht="36" customHeight="1">
      <c r="A17" s="47" t="inlineStr">
        <is>
          <t>• Это значит, что для закупки всей матрицы по 1 шт. каждого SKU дистрибьютору нужно ~2,3 млн руб (без учёта фасовок).</t>
        </is>
      </c>
    </row>
    <row r="18" ht="36" customHeight="1">
      <c r="A18" s="47" t="inlineStr">
        <is>
          <t>• В реальности, чтобы заполнить полки 300 SKU с минимальным запасом 5 шт. на SKU, нужно ~11,5 млн руб — что примерно соответствует нашей январской первичке в 6 млн руб (т.е. стартовая закупка = ~50% от полной заливки матрицы).</t>
        </is>
      </c>
    </row>
    <row r="19" ht="36" customHeight="1">
      <c r="A19" s="47" t="inlineStr">
        <is>
          <t>• Дистрибьютор на старте НЕ закупает все 300 SKU сразу — он формирует топ-100 SKU для запуска и постепенно расширяет матрицу. Это снижает кассовый разрыв, но требует более точного отбора ходовых позиций (по ABC-анализу).</t>
        </is>
      </c>
    </row>
    <row r="20" ht="36" customHeight="1">
      <c r="A20" s="47" t="inlineStr">
        <is>
          <t>• Структура цен: большая часть SKU (по количеству) находится в сегменте 100-1000 руб — это типичный ассортимент масс-маркета.</t>
        </is>
      </c>
    </row>
  </sheetData>
  <mergeCells count="8">
    <mergeCell ref="A16:F16"/>
    <mergeCell ref="A1:G1"/>
    <mergeCell ref="A19:F19"/>
    <mergeCell ref="A2:G2"/>
    <mergeCell ref="A17:F17"/>
    <mergeCell ref="A18:F18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Модель кассового разрыва — дистрибьютор Олимп</dc:title>
  <dcterms:created xmlns:dcterms="http://purl.org/dc/terms/" xmlns:xsi="http://www.w3.org/2001/XMLSchema-instance" xsi:type="dcterms:W3CDTF">2026-10-21T11:11:20Z</dcterms:created>
  <dcterms:modified xmlns:dcterms="http://purl.org/dc/terms/" xmlns:xsi="http://www.w3.org/2001/XMLSchema-instance" xsi:type="dcterms:W3CDTF">2026-10-21T11:11:20Z</dcterms:modified>
</cp:coreProperties>
</file>