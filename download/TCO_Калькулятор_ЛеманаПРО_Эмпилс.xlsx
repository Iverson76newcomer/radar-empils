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Прайс-лист" sheetId="2" state="visible" r:id="rId2"/>
    <sheet xmlns:r="http://schemas.openxmlformats.org/officeDocument/2006/relationships" name="Нормы расхода" sheetId="3" state="visible" r:id="rId3"/>
    <sheet xmlns:r="http://schemas.openxmlformats.org/officeDocument/2006/relationships" name="Калькулятор ТСО" sheetId="4" state="visible" r:id="rId4"/>
    <sheet xmlns:r="http://schemas.openxmlformats.org/officeDocument/2006/relationships" name="Сводка" sheetId="5" state="visible" r:id="rId5"/>
    <sheet xmlns:r="http://schemas.openxmlformats.org/officeDocument/2006/relationships" name="Цепочки" sheetId="6" state="visible" r:id="rId6"/>
    <sheet xmlns:r="http://schemas.openxmlformats.org/officeDocument/2006/relationships" name="Сценарии Металл" sheetId="7" state="visible" r:id="rId7"/>
    <sheet xmlns:r="http://schemas.openxmlformats.org/officeDocument/2006/relationships" name="Методолог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0&quot; ₽&quot;"/>
    <numFmt numFmtId="166" formatCode="#,##0&quot; ₽&quot;"/>
    <numFmt numFmtId="167" formatCode="0.0%"/>
  </numFmts>
  <fonts count="12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color rgb="00B85C1E"/>
      <sz val="11"/>
    </font>
    <font>
      <name val="Noto Sans CJK SC"/>
      <color rgb="003E2F1F"/>
      <sz val="11"/>
    </font>
    <font>
      <name val="Noto Sans CJK SC"/>
      <color rgb="000000FF"/>
      <sz val="11"/>
    </font>
    <font>
      <name val="Noto Sans CJK SC"/>
      <color rgb="009C8B78"/>
      <sz val="9"/>
    </font>
    <font>
      <name val="Noto Sans CJK SC"/>
      <color rgb="00FFFFFF"/>
      <sz val="11"/>
    </font>
    <font>
      <name val="Noto Sans CJK SC"/>
      <color rgb="001B2A4A"/>
      <sz val="12"/>
    </font>
    <font>
      <name val="Noto Sans CJK SC"/>
      <color rgb="001B7D46"/>
      <sz val="11"/>
    </font>
    <font>
      <name val="Noto Sans CJK SC"/>
      <color rgb="001B7D46"/>
      <sz val="12"/>
    </font>
    <font>
      <name val="Noto Sans CJK SC"/>
      <color rgb="00C0392B"/>
      <sz val="11"/>
    </font>
    <font>
      <name val="Noto Sans CJK SC"/>
      <color rgb="00D4820A"/>
      <sz val="11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E8F5E9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3" fontId="4" fillId="3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5" fontId="3" fillId="5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/>
    </xf>
    <xf numFmtId="165" fontId="3" fillId="6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3" fillId="0" borderId="0" pivotButton="0" quotePrefix="0" xfId="0"/>
    <xf numFmtId="166" fontId="3" fillId="5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167" fontId="3" fillId="5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167" fontId="3" fillId="6" borderId="0" applyAlignment="1" pivotButton="0" quotePrefix="0" xfId="0">
      <alignment horizontal="right" vertical="center"/>
    </xf>
    <xf numFmtId="0" fontId="2" fillId="8" borderId="2" applyAlignment="1" pivotButton="0" quotePrefix="0" xfId="0">
      <alignment horizontal="left" vertical="center"/>
    </xf>
    <xf numFmtId="0" fontId="2" fillId="8" borderId="2" pivotButton="0" quotePrefix="0" xfId="0"/>
    <xf numFmtId="166" fontId="2" fillId="8" borderId="2" applyAlignment="1" pivotButton="0" quotePrefix="0" xfId="0">
      <alignment horizontal="right" vertical="center"/>
    </xf>
    <xf numFmtId="167" fontId="2" fillId="8" borderId="2" applyAlignment="1" pivotButton="0" quotePrefix="0" xfId="0">
      <alignment horizontal="right" vertical="center"/>
    </xf>
    <xf numFmtId="3" fontId="0" fillId="0" borderId="0" pivotButton="0" quotePrefix="0" xfId="0"/>
    <xf numFmtId="0" fontId="10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ТСО за 10 лет: дорогой vs выгодный вариант (₽)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'Сводка'!C18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'Сводка'!$B$19:$B$28</f>
            </numRef>
          </cat>
          <val>
            <numRef>
              <f>'Сводка'!$C$19:$C$28</f>
            </numRef>
          </val>
        </ser>
        <ser>
          <idx val="1"/>
          <order val="1"/>
          <tx>
            <strRef>
              <f>'Сводка'!D18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'Сводка'!$B$19:$B$28</f>
            </numRef>
          </cat>
          <val>
            <numRef>
              <f>'Сводка'!$D$19:$D$28</f>
            </numRef>
          </val>
        </ser>
        <gapWidth val="80"/>
        <overlap val="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ТСО 
(₽)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ТСО за 10 лет: сценарии для металла (₽)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'Сценарии Металл'!C36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'Сценарии Металл'!$B$37:$B$48</f>
            </numRef>
          </cat>
          <val>
            <numRef>
              <f>'Сценарии Металл'!$C$37:$C$48</f>
            </numRef>
          </val>
        </ser>
        <ser>
          <idx val="1"/>
          <order val="1"/>
          <tx>
            <strRef>
              <f>'Сценарии Металл'!D36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'Сценарии Металл'!$B$37:$B$48</f>
            </numRef>
          </cat>
          <val>
            <numRef>
              <f>'Сценарии Металл'!$D$37:$D$48</f>
            </numRef>
          </val>
        </ser>
        <ser>
          <idx val="2"/>
          <order val="2"/>
          <tx>
            <strRef>
              <f>'Сценарии Металл'!E36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'Сценарии Металл'!$B$37:$B$48</f>
            </numRef>
          </cat>
          <val>
            <numRef>
              <f>'Сценарии Металл'!$E$37:$E$48</f>
            </numRef>
          </val>
        </ser>
        <gapWidth val="80"/>
        <overlap val="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ТСО 
(₽)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35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</cols>
  <sheetData>
    <row r="1" ht="15" customHeight="1"/>
    <row r="2" ht="32" customHeight="1">
      <c r="B2" s="1" t="inlineStr">
        <is>
          <t>ВВОДНЫЕ ПАРАМЕТРЫ ДЛЯ РАСЧЁТА ТСО</t>
        </is>
      </c>
    </row>
    <row r="3" ht="8" customHeight="1"/>
    <row r="4">
      <c r="B4" s="2" t="inlineStr">
        <is>
          <t>ОБЩИЕ ПАРАМЕТРЫ</t>
        </is>
      </c>
    </row>
    <row r="5" ht="22" customHeight="1">
      <c r="B5" s="3" t="inlineStr">
        <is>
          <t>Горизонт расчёта (лет)</t>
        </is>
      </c>
      <c r="C5" s="4" t="n">
        <v>10</v>
      </c>
    </row>
    <row r="6" ht="22" customHeight="1">
      <c r="B6" s="3" t="inlineStr">
        <is>
          <t>Ставка грунтования металла (₽/м²)</t>
        </is>
      </c>
      <c r="C6" s="4" t="n">
        <v>250</v>
      </c>
    </row>
    <row r="7" ht="22" customHeight="1">
      <c r="B7" s="3" t="inlineStr">
        <is>
          <t>Ставка покраски металла (₽/м²)</t>
        </is>
      </c>
      <c r="C7" s="4" t="n">
        <v>300</v>
      </c>
    </row>
    <row r="8" ht="22" customHeight="1">
      <c r="B8" s="3" t="inlineStr">
        <is>
          <t>Ставка грунтования ВД (₽/м²)</t>
        </is>
      </c>
      <c r="C8" s="4" t="n">
        <v>180</v>
      </c>
    </row>
    <row r="9" ht="22" customHeight="1">
      <c r="B9" s="3" t="inlineStr">
        <is>
          <t>Ставка покраски ВД (₽/м²)</t>
        </is>
      </c>
      <c r="C9" s="4" t="n">
        <v>220</v>
      </c>
    </row>
    <row r="10" ht="22" customHeight="1">
      <c r="B10" s="3" t="inlineStr">
        <is>
          <t>Ставка покраски пола (₽/м²)</t>
        </is>
      </c>
      <c r="C10" s="4" t="n">
        <v>280</v>
      </c>
    </row>
    <row r="11" ht="22" customHeight="1">
      <c r="B11" s="3" t="inlineStr">
        <is>
          <t>Ставка лакирования дерево (₽/м²)</t>
        </is>
      </c>
      <c r="C11" s="4" t="n">
        <v>300</v>
      </c>
    </row>
    <row r="12" ht="22" customHeight="1">
      <c r="B12" s="3" t="inlineStr">
        <is>
          <t>Ставка лакирования паркет (₽/м²)</t>
        </is>
      </c>
      <c r="C12" s="4" t="n">
        <v>350</v>
      </c>
    </row>
    <row r="13" ht="22" customHeight="1">
      <c r="B13" s="3" t="inlineStr">
        <is>
          <t>Ставка покраски радиаторов (₽/м²)</t>
        </is>
      </c>
      <c r="C13" s="4" t="n">
        <v>400</v>
      </c>
    </row>
    <row r="14" ht="22" customHeight="1">
      <c r="B14" s="3" t="inlineStr">
        <is>
          <t>Ставка декоративной покраски (₽/м²)</t>
        </is>
      </c>
      <c r="C14" s="4" t="n">
        <v>450</v>
      </c>
    </row>
    <row r="16">
      <c r="B16" s="2" t="inlineStr">
        <is>
          <t>ПЛОЩАДИ ТИПОВЫХ ОБЪЕКТОВ (м²)</t>
        </is>
      </c>
    </row>
    <row r="17" ht="22" customHeight="1">
      <c r="B17" s="3" t="inlineStr">
        <is>
          <t>Ворота металлические</t>
        </is>
      </c>
      <c r="C17" s="5" t="n">
        <v>16</v>
      </c>
    </row>
    <row r="18" ht="22" customHeight="1">
      <c r="B18" s="3" t="inlineStr">
        <is>
          <t>Гараж металлический</t>
        </is>
      </c>
      <c r="C18" s="5" t="n">
        <v>54</v>
      </c>
    </row>
    <row r="19" ht="22" customHeight="1">
      <c r="B19" s="3" t="inlineStr">
        <is>
          <t>Дверь металлическая</t>
        </is>
      </c>
      <c r="C19" s="5" t="n">
        <v>4.4</v>
      </c>
    </row>
    <row r="20" ht="22" customHeight="1">
      <c r="B20" s="3" t="inlineStr">
        <is>
          <t>Забор металлический</t>
        </is>
      </c>
      <c r="C20" s="5" t="n">
        <v>30</v>
      </c>
    </row>
    <row r="21" ht="22" customHeight="1">
      <c r="B21" s="3" t="inlineStr">
        <is>
          <t>Трубы / конструкции</t>
        </is>
      </c>
      <c r="C21" s="5" t="n">
        <v>10</v>
      </c>
    </row>
    <row r="22" ht="22" customHeight="1">
      <c r="B22" s="3" t="inlineStr">
        <is>
          <t>Пол гаража (бетон)</t>
        </is>
      </c>
      <c r="C22" s="5" t="n">
        <v>20</v>
      </c>
    </row>
    <row r="23" ht="22" customHeight="1">
      <c r="B23" s="3" t="inlineStr">
        <is>
          <t>Пол подвала (бетон)</t>
        </is>
      </c>
      <c r="C23" s="5" t="n">
        <v>15</v>
      </c>
    </row>
    <row r="24" ht="22" customHeight="1">
      <c r="B24" s="3" t="inlineStr">
        <is>
          <t>Пол склада (бетон)</t>
        </is>
      </c>
      <c r="C24" s="5" t="n">
        <v>50</v>
      </c>
    </row>
    <row r="25" ht="22" customHeight="1">
      <c r="B25" s="3" t="inlineStr">
        <is>
          <t>Забор деревянный</t>
        </is>
      </c>
      <c r="C25" s="5" t="n">
        <v>40</v>
      </c>
    </row>
    <row r="26" ht="22" customHeight="1">
      <c r="B26" s="3" t="inlineStr">
        <is>
          <t>Терраса / лоджия</t>
        </is>
      </c>
      <c r="C26" s="5" t="n">
        <v>15</v>
      </c>
    </row>
    <row r="27" ht="22" customHeight="1">
      <c r="B27" s="3" t="inlineStr">
        <is>
          <t>Потолок</t>
        </is>
      </c>
      <c r="C27" s="5" t="n">
        <v>20</v>
      </c>
    </row>
    <row r="28" ht="22" customHeight="1">
      <c r="B28" s="3" t="inlineStr">
        <is>
          <t>Стены (коридор/кухня)</t>
        </is>
      </c>
      <c r="C28" s="5" t="n">
        <v>50</v>
      </c>
    </row>
    <row r="29" ht="22" customHeight="1">
      <c r="B29" s="3" t="inlineStr">
        <is>
          <t>Фасад дома</t>
        </is>
      </c>
      <c r="C29" s="5" t="n">
        <v>100</v>
      </c>
    </row>
    <row r="30" ht="22" customHeight="1">
      <c r="B30" s="3" t="inlineStr">
        <is>
          <t>Стена декоративная</t>
        </is>
      </c>
      <c r="C30" s="5" t="n">
        <v>20</v>
      </c>
    </row>
    <row r="31" ht="22" customHeight="1">
      <c r="B31" s="3" t="inlineStr">
        <is>
          <t>Батареи (радиаторы)</t>
        </is>
      </c>
      <c r="C31" s="5" t="n">
        <v>6</v>
      </c>
    </row>
    <row r="32" ht="22" customHeight="1">
      <c r="B32" s="3" t="inlineStr">
        <is>
          <t>Настил металлический</t>
        </is>
      </c>
      <c r="C32" s="5" t="n">
        <v>25</v>
      </c>
    </row>
    <row r="34">
      <c r="B34" s="6" t="inlineStr">
        <is>
          <t>Ячейки с жёлтым фоном — редактируемые. Измените значения для пересчёта.</t>
        </is>
      </c>
    </row>
  </sheetData>
  <mergeCells count="4">
    <mergeCell ref="B34:G34"/>
    <mergeCell ref="B2:G2"/>
    <mergeCell ref="B4:G4"/>
    <mergeCell ref="B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ПРАЙС-ЛИСТ ЛЕМАНА ПРО — АССОРТИМЕНТ ЭМПИЛС</t>
        </is>
      </c>
    </row>
    <row r="3" ht="8" customHeight="1"/>
    <row r="4" ht="28" customHeight="1">
      <c r="B4" s="7" t="inlineStr">
        <is>
          <t>№</t>
        </is>
      </c>
      <c r="C4" s="7" t="inlineStr">
        <is>
          <t>Категория</t>
        </is>
      </c>
      <c r="D4" s="7" t="inlineStr">
        <is>
          <t>Продукт</t>
        </is>
      </c>
      <c r="E4" s="7" t="inlineStr">
        <is>
          <t>Бренд</t>
        </is>
      </c>
      <c r="F4" s="7" t="inlineStr">
        <is>
          <t>Фасовка</t>
        </is>
      </c>
      <c r="G4" s="7" t="inlineStr">
        <is>
          <t>Цена (₽)</t>
        </is>
      </c>
      <c r="H4" s="7" t="inlineStr">
        <is>
          <t>Единица</t>
        </is>
      </c>
      <c r="I4" s="7" t="inlineStr">
        <is>
          <t>Цена за кг/л (₽)</t>
        </is>
      </c>
    </row>
    <row r="5" ht="22" customHeight="1">
      <c r="B5" s="8" t="n">
        <v>1</v>
      </c>
      <c r="C5" s="9" t="inlineStr">
        <is>
          <t>Грунтовка</t>
        </is>
      </c>
      <c r="D5" s="9" t="inlineStr">
        <is>
          <t>Грунтовка ГФ-021 Л</t>
        </is>
      </c>
      <c r="E5" s="9" t="inlineStr">
        <is>
          <t>ОРЕОЛ</t>
        </is>
      </c>
      <c r="F5" s="9" t="inlineStr">
        <is>
          <t>1 кг</t>
        </is>
      </c>
      <c r="G5" s="10" t="n">
        <v>180</v>
      </c>
      <c r="H5" s="9" t="inlineStr">
        <is>
          <t>кг</t>
        </is>
      </c>
      <c r="I5" s="10" t="n">
        <v>180</v>
      </c>
    </row>
    <row r="6" ht="22" customHeight="1">
      <c r="B6" s="11" t="n">
        <v>2</v>
      </c>
      <c r="C6" s="12" t="inlineStr">
        <is>
          <t>Грунтовка</t>
        </is>
      </c>
      <c r="D6" s="12" t="inlineStr">
        <is>
          <t>Грунтовка ГФ-021 Л</t>
        </is>
      </c>
      <c r="E6" s="12" t="inlineStr">
        <is>
          <t>ОРЕОЛ</t>
        </is>
      </c>
      <c r="F6" s="12" t="inlineStr">
        <is>
          <t>1.9 кг</t>
        </is>
      </c>
      <c r="G6" s="13" t="n">
        <v>310</v>
      </c>
      <c r="H6" s="12" t="inlineStr">
        <is>
          <t>кг</t>
        </is>
      </c>
      <c r="I6" s="13" t="n">
        <v>163.2</v>
      </c>
    </row>
    <row r="7" ht="22" customHeight="1">
      <c r="B7" s="8" t="n">
        <v>3</v>
      </c>
      <c r="C7" s="9" t="inlineStr">
        <is>
          <t>Грунтовка</t>
        </is>
      </c>
      <c r="D7" s="9" t="inlineStr">
        <is>
          <t>Грунтовка ГФ-021 Л</t>
        </is>
      </c>
      <c r="E7" s="9" t="inlineStr">
        <is>
          <t>ОРЕОЛ</t>
        </is>
      </c>
      <c r="F7" s="9" t="inlineStr">
        <is>
          <t>5.5 кг</t>
        </is>
      </c>
      <c r="G7" s="10" t="n">
        <v>680</v>
      </c>
      <c r="H7" s="9" t="inlineStr">
        <is>
          <t>кг</t>
        </is>
      </c>
      <c r="I7" s="10" t="n">
        <v>123.6</v>
      </c>
    </row>
    <row r="8" ht="22" customHeight="1">
      <c r="B8" s="11" t="n">
        <v>4</v>
      </c>
      <c r="C8" s="12" t="inlineStr">
        <is>
          <t>Грунтовка ВД</t>
        </is>
      </c>
      <c r="D8" s="12" t="inlineStr">
        <is>
          <t>Грунтовка ВД универсальная</t>
        </is>
      </c>
      <c r="E8" s="12" t="inlineStr">
        <is>
          <t>ОРЕОЛ ДИСКОНТ</t>
        </is>
      </c>
      <c r="F8" s="12" t="inlineStr">
        <is>
          <t>20 кг</t>
        </is>
      </c>
      <c r="G8" s="13" t="n">
        <v>620</v>
      </c>
      <c r="H8" s="12" t="inlineStr">
        <is>
          <t>кг</t>
        </is>
      </c>
      <c r="I8" s="13" t="n">
        <v>31</v>
      </c>
    </row>
    <row r="9" ht="22" customHeight="1">
      <c r="B9" s="8" t="n">
        <v>5</v>
      </c>
      <c r="C9" s="9" t="inlineStr">
        <is>
          <t>Эмаль ПФ-115</t>
        </is>
      </c>
      <c r="D9" s="9" t="inlineStr">
        <is>
          <t>Эмаль ПФ-115</t>
        </is>
      </c>
      <c r="E9" s="9" t="inlineStr">
        <is>
          <t>ПростоКРАСКА</t>
        </is>
      </c>
      <c r="F9" s="9" t="inlineStr">
        <is>
          <t>0.8 кг</t>
        </is>
      </c>
      <c r="G9" s="10" t="n">
        <v>130</v>
      </c>
      <c r="H9" s="9" t="inlineStr">
        <is>
          <t>кг</t>
        </is>
      </c>
      <c r="I9" s="10" t="n">
        <v>162.5</v>
      </c>
    </row>
    <row r="10" ht="22" customHeight="1">
      <c r="B10" s="11" t="n">
        <v>6</v>
      </c>
      <c r="C10" s="12" t="inlineStr">
        <is>
          <t>Эмаль ПФ-115</t>
        </is>
      </c>
      <c r="D10" s="12" t="inlineStr">
        <is>
          <t>Эмаль ПФ-115</t>
        </is>
      </c>
      <c r="E10" s="12" t="inlineStr">
        <is>
          <t>ПростоКРАСКА</t>
        </is>
      </c>
      <c r="F10" s="12" t="inlineStr">
        <is>
          <t>1.9 кг</t>
        </is>
      </c>
      <c r="G10" s="13" t="n">
        <v>260</v>
      </c>
      <c r="H10" s="12" t="inlineStr">
        <is>
          <t>кг</t>
        </is>
      </c>
      <c r="I10" s="13" t="n">
        <v>136.8</v>
      </c>
    </row>
    <row r="11" ht="22" customHeight="1">
      <c r="B11" s="8" t="n">
        <v>7</v>
      </c>
      <c r="C11" s="9" t="inlineStr">
        <is>
          <t>Эмаль ПФ-115</t>
        </is>
      </c>
      <c r="D11" s="9" t="inlineStr">
        <is>
          <t>Эмаль ПФ-115</t>
        </is>
      </c>
      <c r="E11" s="9" t="inlineStr">
        <is>
          <t>ПростоКРАСКА</t>
        </is>
      </c>
      <c r="F11" s="9" t="inlineStr">
        <is>
          <t>5.5 кг</t>
        </is>
      </c>
      <c r="G11" s="10" t="n">
        <v>580</v>
      </c>
      <c r="H11" s="9" t="inlineStr">
        <is>
          <t>кг</t>
        </is>
      </c>
      <c r="I11" s="10" t="n">
        <v>105.5</v>
      </c>
    </row>
    <row r="12" ht="22" customHeight="1">
      <c r="B12" s="11" t="n">
        <v>8</v>
      </c>
      <c r="C12" s="12" t="inlineStr">
        <is>
          <t>Эмаль ПФ-115</t>
        </is>
      </c>
      <c r="D12" s="12" t="inlineStr">
        <is>
          <t>Эмаль ПФ-115</t>
        </is>
      </c>
      <c r="E12" s="12" t="inlineStr">
        <is>
          <t>ПростоКРАСКА</t>
        </is>
      </c>
      <c r="F12" s="12" t="inlineStr">
        <is>
          <t>9 кг</t>
        </is>
      </c>
      <c r="G12" s="13" t="n">
        <v>890</v>
      </c>
      <c r="H12" s="12" t="inlineStr">
        <is>
          <t>кг</t>
        </is>
      </c>
      <c r="I12" s="13" t="n">
        <v>98.90000000000001</v>
      </c>
    </row>
    <row r="13" ht="22" customHeight="1">
      <c r="B13" s="8" t="n">
        <v>9</v>
      </c>
      <c r="C13" s="9" t="inlineStr">
        <is>
          <t>Эмаль ПФ-115</t>
        </is>
      </c>
      <c r="D13" s="9" t="inlineStr">
        <is>
          <t>Эмаль ПФ-115</t>
        </is>
      </c>
      <c r="E13" s="9" t="inlineStr">
        <is>
          <t>ПростоКРАСКА</t>
        </is>
      </c>
      <c r="F13" s="9" t="inlineStr">
        <is>
          <t>20 кг</t>
        </is>
      </c>
      <c r="G13" s="10" t="n">
        <v>1790</v>
      </c>
      <c r="H13" s="9" t="inlineStr">
        <is>
          <t>кг</t>
        </is>
      </c>
      <c r="I13" s="10" t="n">
        <v>89.5</v>
      </c>
    </row>
    <row r="14" ht="22" customHeight="1">
      <c r="B14" s="11" t="n">
        <v>10</v>
      </c>
      <c r="C14" s="12" t="inlineStr">
        <is>
          <t>Эмаль ПФ-115</t>
        </is>
      </c>
      <c r="D14" s="12" t="inlineStr">
        <is>
          <t>Эмаль ПФ-115 Premium</t>
        </is>
      </c>
      <c r="E14" s="12" t="inlineStr">
        <is>
          <t>ОРЕОЛ</t>
        </is>
      </c>
      <c r="F14" s="12" t="inlineStr">
        <is>
          <t>0.9 кг</t>
        </is>
      </c>
      <c r="G14" s="13" t="n">
        <v>280</v>
      </c>
      <c r="H14" s="12" t="inlineStr">
        <is>
          <t>кг</t>
        </is>
      </c>
      <c r="I14" s="13" t="n">
        <v>311.1</v>
      </c>
    </row>
    <row r="15" ht="22" customHeight="1">
      <c r="B15" s="8" t="n">
        <v>11</v>
      </c>
      <c r="C15" s="9" t="inlineStr">
        <is>
          <t>Эмаль ПФ-115</t>
        </is>
      </c>
      <c r="D15" s="9" t="inlineStr">
        <is>
          <t>Эмаль ПФ-115 Premium</t>
        </is>
      </c>
      <c r="E15" s="9" t="inlineStr">
        <is>
          <t>ОРЕОЛ</t>
        </is>
      </c>
      <c r="F15" s="9" t="inlineStr">
        <is>
          <t>2.2 кг</t>
        </is>
      </c>
      <c r="G15" s="10" t="n">
        <v>530</v>
      </c>
      <c r="H15" s="9" t="inlineStr">
        <is>
          <t>кг</t>
        </is>
      </c>
      <c r="I15" s="10" t="n">
        <v>240.9</v>
      </c>
    </row>
    <row r="16" ht="22" customHeight="1">
      <c r="B16" s="11" t="n">
        <v>12</v>
      </c>
      <c r="C16" s="12" t="inlineStr">
        <is>
          <t>Эмаль ПФ-115</t>
        </is>
      </c>
      <c r="D16" s="12" t="inlineStr">
        <is>
          <t>Эмаль ПФ-115 ЭКОНОМ Л</t>
        </is>
      </c>
      <c r="E16" s="12" t="inlineStr">
        <is>
          <t>ЭКОНОМ Л</t>
        </is>
      </c>
      <c r="F16" s="12" t="inlineStr">
        <is>
          <t>9 кг</t>
        </is>
      </c>
      <c r="G16" s="13" t="n">
        <v>820</v>
      </c>
      <c r="H16" s="12" t="inlineStr">
        <is>
          <t>кг</t>
        </is>
      </c>
      <c r="I16" s="13" t="n">
        <v>91.09999999999999</v>
      </c>
    </row>
    <row r="17" ht="22" customHeight="1">
      <c r="B17" s="8" t="n">
        <v>13</v>
      </c>
      <c r="C17" s="9" t="inlineStr">
        <is>
          <t>Эмаль ПФ-115</t>
        </is>
      </c>
      <c r="D17" s="9" t="inlineStr">
        <is>
          <t>Эмаль ПФ-115 ЭКОНОМ Л</t>
        </is>
      </c>
      <c r="E17" s="9" t="inlineStr">
        <is>
          <t>ЭКОНОМ Л</t>
        </is>
      </c>
      <c r="F17" s="9" t="inlineStr">
        <is>
          <t>20 кг</t>
        </is>
      </c>
      <c r="G17" s="10" t="n">
        <v>1650</v>
      </c>
      <c r="H17" s="9" t="inlineStr">
        <is>
          <t>кг</t>
        </is>
      </c>
      <c r="I17" s="10" t="n">
        <v>82.5</v>
      </c>
    </row>
    <row r="18" ht="22" customHeight="1">
      <c r="B18" s="11" t="n">
        <v>14</v>
      </c>
      <c r="C18" s="12" t="inlineStr">
        <is>
          <t>Грунт-эмаль 3в1</t>
        </is>
      </c>
      <c r="D18" s="12" t="inlineStr">
        <is>
          <t>Грунт-эмаль 3в1 по ржавчине</t>
        </is>
      </c>
      <c r="E18" s="12" t="inlineStr">
        <is>
          <t>ОРЕОЛ</t>
        </is>
      </c>
      <c r="F18" s="12" t="inlineStr">
        <is>
          <t>0.9 кг</t>
        </is>
      </c>
      <c r="G18" s="13" t="n">
        <v>360</v>
      </c>
      <c r="H18" s="12" t="inlineStr">
        <is>
          <t>кг</t>
        </is>
      </c>
      <c r="I18" s="13" t="n">
        <v>400</v>
      </c>
    </row>
    <row r="19" ht="22" customHeight="1">
      <c r="B19" s="8" t="n">
        <v>15</v>
      </c>
      <c r="C19" s="9" t="inlineStr">
        <is>
          <t>Грунт-эмаль 3в1</t>
        </is>
      </c>
      <c r="D19" s="9" t="inlineStr">
        <is>
          <t>Грунт-эмаль 3в1 по ржавчине</t>
        </is>
      </c>
      <c r="E19" s="9" t="inlineStr">
        <is>
          <t>ОРЕОЛ</t>
        </is>
      </c>
      <c r="F19" s="9" t="inlineStr">
        <is>
          <t>2.6 кг</t>
        </is>
      </c>
      <c r="G19" s="10" t="n">
        <v>770</v>
      </c>
      <c r="H19" s="9" t="inlineStr">
        <is>
          <t>кг</t>
        </is>
      </c>
      <c r="I19" s="10" t="n">
        <v>296.2</v>
      </c>
    </row>
    <row r="20" ht="22" customHeight="1">
      <c r="B20" s="11" t="n">
        <v>16</v>
      </c>
      <c r="C20" s="12" t="inlineStr">
        <is>
          <t>Грунт-эмаль 3в1</t>
        </is>
      </c>
      <c r="D20" s="12" t="inlineStr">
        <is>
          <t>Грунт-эмаль 3в1 по ржавчине</t>
        </is>
      </c>
      <c r="E20" s="12" t="inlineStr">
        <is>
          <t>ОРЕОЛ</t>
        </is>
      </c>
      <c r="F20" s="12" t="inlineStr">
        <is>
          <t>5 кг</t>
        </is>
      </c>
      <c r="G20" s="13" t="n">
        <v>1250</v>
      </c>
      <c r="H20" s="12" t="inlineStr">
        <is>
          <t>кг</t>
        </is>
      </c>
      <c r="I20" s="13" t="n">
        <v>250</v>
      </c>
    </row>
    <row r="21" ht="22" customHeight="1">
      <c r="B21" s="8" t="n">
        <v>17</v>
      </c>
      <c r="C21" s="9" t="inlineStr">
        <is>
          <t>Грунт-эмаль 3в1</t>
        </is>
      </c>
      <c r="D21" s="9" t="inlineStr">
        <is>
          <t>Грунт-эмаль 3в1 по ржавчине</t>
        </is>
      </c>
      <c r="E21" s="9" t="inlineStr">
        <is>
          <t>ОРЕОЛ</t>
        </is>
      </c>
      <c r="F21" s="9" t="inlineStr">
        <is>
          <t>10 кг</t>
        </is>
      </c>
      <c r="G21" s="10" t="n">
        <v>2150</v>
      </c>
      <c r="H21" s="9" t="inlineStr">
        <is>
          <t>кг</t>
        </is>
      </c>
      <c r="I21" s="10" t="n">
        <v>215</v>
      </c>
    </row>
    <row r="22" ht="22" customHeight="1">
      <c r="B22" s="11" t="n">
        <v>18</v>
      </c>
      <c r="C22" s="12" t="inlineStr">
        <is>
          <t>Грунт-эмаль TITAN</t>
        </is>
      </c>
      <c r="D22" s="12" t="inlineStr">
        <is>
          <t>Грунт-эмаль TITAN по ржавчине</t>
        </is>
      </c>
      <c r="E22" s="12" t="inlineStr">
        <is>
          <t>ОРЕОЛ TITAN</t>
        </is>
      </c>
      <c r="F22" s="12" t="inlineStr">
        <is>
          <t>0.4 л</t>
        </is>
      </c>
      <c r="G22" s="13" t="n">
        <v>460</v>
      </c>
      <c r="H22" s="12" t="inlineStr">
        <is>
          <t>л</t>
        </is>
      </c>
      <c r="I22" s="13" t="n">
        <v>1150</v>
      </c>
    </row>
    <row r="23" ht="22" customHeight="1">
      <c r="B23" s="8" t="n">
        <v>19</v>
      </c>
      <c r="C23" s="9" t="inlineStr">
        <is>
          <t>Грунт-эмаль TITAN</t>
        </is>
      </c>
      <c r="D23" s="9" t="inlineStr">
        <is>
          <t>Грунт-эмаль TITAN по ржавчине</t>
        </is>
      </c>
      <c r="E23" s="9" t="inlineStr">
        <is>
          <t>ОРЕОЛ TITAN</t>
        </is>
      </c>
      <c r="F23" s="9" t="inlineStr">
        <is>
          <t>0.75 л</t>
        </is>
      </c>
      <c r="G23" s="10" t="n">
        <v>720</v>
      </c>
      <c r="H23" s="9" t="inlineStr">
        <is>
          <t>л</t>
        </is>
      </c>
      <c r="I23" s="10" t="n">
        <v>960</v>
      </c>
    </row>
    <row r="24" ht="22" customHeight="1">
      <c r="B24" s="11" t="n">
        <v>20</v>
      </c>
      <c r="C24" s="12" t="inlineStr">
        <is>
          <t>Грунт-эмаль TITAN</t>
        </is>
      </c>
      <c r="D24" s="12" t="inlineStr">
        <is>
          <t>Грунт-эмаль TITAN по ржавчине</t>
        </is>
      </c>
      <c r="E24" s="12" t="inlineStr">
        <is>
          <t>ОРЕОЛ TITAN</t>
        </is>
      </c>
      <c r="F24" s="12" t="inlineStr">
        <is>
          <t>2 л</t>
        </is>
      </c>
      <c r="G24" s="13" t="n">
        <v>1520</v>
      </c>
      <c r="H24" s="12" t="inlineStr">
        <is>
          <t>л</t>
        </is>
      </c>
      <c r="I24" s="13" t="n">
        <v>760</v>
      </c>
    </row>
    <row r="25" ht="22" customHeight="1">
      <c r="B25" s="8" t="n">
        <v>21</v>
      </c>
      <c r="C25" s="9" t="inlineStr">
        <is>
          <t>Грунт-эмаль TITAN</t>
        </is>
      </c>
      <c r="D25" s="9" t="inlineStr">
        <is>
          <t>Грунт-эмаль TITAN по ржавчине</t>
        </is>
      </c>
      <c r="E25" s="9" t="inlineStr">
        <is>
          <t>ОРЕОЛ TITAN</t>
        </is>
      </c>
      <c r="F25" s="9" t="inlineStr">
        <is>
          <t>5 л</t>
        </is>
      </c>
      <c r="G25" s="10" t="n">
        <v>3050</v>
      </c>
      <c r="H25" s="9" t="inlineStr">
        <is>
          <t>л</t>
        </is>
      </c>
      <c r="I25" s="10" t="n">
        <v>610</v>
      </c>
    </row>
    <row r="26" ht="22" customHeight="1">
      <c r="B26" s="11" t="n">
        <v>22</v>
      </c>
      <c r="C26" s="12" t="inlineStr">
        <is>
          <t>Грунт-эмаль Paint Lab</t>
        </is>
      </c>
      <c r="D26" s="12" t="inlineStr">
        <is>
          <t>Грунт-эмаль Paint Lab</t>
        </is>
      </c>
      <c r="E26" s="12" t="inlineStr">
        <is>
          <t>EMPILS Paint Lab</t>
        </is>
      </c>
      <c r="F26" s="12" t="inlineStr">
        <is>
          <t>0.9 кг</t>
        </is>
      </c>
      <c r="G26" s="13" t="n">
        <v>410</v>
      </c>
      <c r="H26" s="12" t="inlineStr">
        <is>
          <t>кг</t>
        </is>
      </c>
      <c r="I26" s="13" t="n">
        <v>455.6</v>
      </c>
    </row>
    <row r="27" ht="22" customHeight="1">
      <c r="B27" s="8" t="n">
        <v>23</v>
      </c>
      <c r="C27" s="9" t="inlineStr">
        <is>
          <t>Грунт-эмаль Paint Lab</t>
        </is>
      </c>
      <c r="D27" s="9" t="inlineStr">
        <is>
          <t>Грунт-эмаль Paint Lab</t>
        </is>
      </c>
      <c r="E27" s="9" t="inlineStr">
        <is>
          <t>EMPILS Paint Lab</t>
        </is>
      </c>
      <c r="F27" s="9" t="inlineStr">
        <is>
          <t>2.6 кг</t>
        </is>
      </c>
      <c r="G27" s="10" t="n">
        <v>920</v>
      </c>
      <c r="H27" s="9" t="inlineStr">
        <is>
          <t>кг</t>
        </is>
      </c>
      <c r="I27" s="10" t="n">
        <v>353.8</v>
      </c>
    </row>
    <row r="28" ht="22" customHeight="1">
      <c r="B28" s="11" t="n">
        <v>24</v>
      </c>
      <c r="C28" s="12" t="inlineStr">
        <is>
          <t>Грунт-эмаль Paint Lab</t>
        </is>
      </c>
      <c r="D28" s="12" t="inlineStr">
        <is>
          <t>Грунт-эмаль Paint Lab</t>
        </is>
      </c>
      <c r="E28" s="12" t="inlineStr">
        <is>
          <t>EMPILS Paint Lab</t>
        </is>
      </c>
      <c r="F28" s="12" t="inlineStr">
        <is>
          <t>5 кг</t>
        </is>
      </c>
      <c r="G28" s="13" t="n">
        <v>1550</v>
      </c>
      <c r="H28" s="12" t="inlineStr">
        <is>
          <t>кг</t>
        </is>
      </c>
      <c r="I28" s="13" t="n">
        <v>310</v>
      </c>
    </row>
    <row r="29" ht="22" customHeight="1">
      <c r="B29" s="8" t="n">
        <v>25</v>
      </c>
      <c r="C29" s="9" t="inlineStr">
        <is>
          <t>Эмаль для пола</t>
        </is>
      </c>
      <c r="D29" s="9" t="inlineStr">
        <is>
          <t>Эмаль Расцвет для полов АК</t>
        </is>
      </c>
      <c r="E29" s="9" t="inlineStr">
        <is>
          <t>Расцвет</t>
        </is>
      </c>
      <c r="F29" s="9" t="inlineStr">
        <is>
          <t>0.9 кг</t>
        </is>
      </c>
      <c r="G29" s="10" t="n">
        <v>280</v>
      </c>
      <c r="H29" s="9" t="inlineStr">
        <is>
          <t>кг</t>
        </is>
      </c>
      <c r="I29" s="10" t="n">
        <v>311.1</v>
      </c>
    </row>
    <row r="30" ht="22" customHeight="1">
      <c r="B30" s="11" t="n">
        <v>26</v>
      </c>
      <c r="C30" s="12" t="inlineStr">
        <is>
          <t>Эмаль для пола</t>
        </is>
      </c>
      <c r="D30" s="12" t="inlineStr">
        <is>
          <t>Эмаль Расцвет для полов АК</t>
        </is>
      </c>
      <c r="E30" s="12" t="inlineStr">
        <is>
          <t>Расцвет</t>
        </is>
      </c>
      <c r="F30" s="12" t="inlineStr">
        <is>
          <t>2.7 кг</t>
        </is>
      </c>
      <c r="G30" s="13" t="n">
        <v>660</v>
      </c>
      <c r="H30" s="12" t="inlineStr">
        <is>
          <t>кг</t>
        </is>
      </c>
      <c r="I30" s="13" t="n">
        <v>244.4</v>
      </c>
    </row>
    <row r="31" ht="22" customHeight="1">
      <c r="B31" s="8" t="n">
        <v>27</v>
      </c>
      <c r="C31" s="9" t="inlineStr">
        <is>
          <t>Эмаль для пола</t>
        </is>
      </c>
      <c r="D31" s="9" t="inlineStr">
        <is>
          <t>Эмаль Расцвет для полов АК</t>
        </is>
      </c>
      <c r="E31" s="9" t="inlineStr">
        <is>
          <t>Расцвет</t>
        </is>
      </c>
      <c r="F31" s="9" t="inlineStr">
        <is>
          <t>5 кг</t>
        </is>
      </c>
      <c r="G31" s="10" t="n">
        <v>1080</v>
      </c>
      <c r="H31" s="9" t="inlineStr">
        <is>
          <t>кг</t>
        </is>
      </c>
      <c r="I31" s="10" t="n">
        <v>216</v>
      </c>
    </row>
    <row r="32" ht="22" customHeight="1">
      <c r="B32" s="11" t="n">
        <v>28</v>
      </c>
      <c r="C32" s="12" t="inlineStr">
        <is>
          <t>Эмаль для пола</t>
        </is>
      </c>
      <c r="D32" s="12" t="inlineStr">
        <is>
          <t>Эмаль Расцвет для полов АК</t>
        </is>
      </c>
      <c r="E32" s="12" t="inlineStr">
        <is>
          <t>Расцвет</t>
        </is>
      </c>
      <c r="F32" s="12" t="inlineStr">
        <is>
          <t>10 кг</t>
        </is>
      </c>
      <c r="G32" s="13" t="n">
        <v>1850</v>
      </c>
      <c r="H32" s="12" t="inlineStr">
        <is>
          <t>кг</t>
        </is>
      </c>
      <c r="I32" s="13" t="n">
        <v>185</v>
      </c>
    </row>
    <row r="33" ht="22" customHeight="1">
      <c r="B33" s="8" t="n">
        <v>29</v>
      </c>
      <c r="C33" s="9" t="inlineStr">
        <is>
          <t>Эмаль для пола</t>
        </is>
      </c>
      <c r="D33" s="9" t="inlineStr">
        <is>
          <t>Эмаль Расцвет для полов АК</t>
        </is>
      </c>
      <c r="E33" s="9" t="inlineStr">
        <is>
          <t>Расцвет</t>
        </is>
      </c>
      <c r="F33" s="9" t="inlineStr">
        <is>
          <t>20 кг</t>
        </is>
      </c>
      <c r="G33" s="10" t="n">
        <v>3350</v>
      </c>
      <c r="H33" s="9" t="inlineStr">
        <is>
          <t>кг</t>
        </is>
      </c>
      <c r="I33" s="10" t="n">
        <v>167.5</v>
      </c>
    </row>
    <row r="34" ht="22" customHeight="1">
      <c r="B34" s="11" t="n">
        <v>30</v>
      </c>
      <c r="C34" s="12" t="inlineStr">
        <is>
          <t>Лак яхтный</t>
        </is>
      </c>
      <c r="D34" s="12" t="inlineStr">
        <is>
          <t>Лак яхтный атмосферостойкий</t>
        </is>
      </c>
      <c r="E34" s="12" t="inlineStr">
        <is>
          <t>MONLID</t>
        </is>
      </c>
      <c r="F34" s="12" t="inlineStr">
        <is>
          <t>0.7 кг</t>
        </is>
      </c>
      <c r="G34" s="13" t="n">
        <v>360</v>
      </c>
      <c r="H34" s="12" t="inlineStr">
        <is>
          <t>кг</t>
        </is>
      </c>
      <c r="I34" s="13" t="n">
        <v>514.3</v>
      </c>
    </row>
    <row r="35" ht="22" customHeight="1">
      <c r="B35" s="8" t="n">
        <v>31</v>
      </c>
      <c r="C35" s="9" t="inlineStr">
        <is>
          <t>Лак яхтный</t>
        </is>
      </c>
      <c r="D35" s="9" t="inlineStr">
        <is>
          <t>Лак яхтный атмосферостойкий</t>
        </is>
      </c>
      <c r="E35" s="9" t="inlineStr">
        <is>
          <t>MONLID</t>
        </is>
      </c>
      <c r="F35" s="9" t="inlineStr">
        <is>
          <t>1.9 кг</t>
        </is>
      </c>
      <c r="G35" s="10" t="n">
        <v>720</v>
      </c>
      <c r="H35" s="9" t="inlineStr">
        <is>
          <t>кг</t>
        </is>
      </c>
      <c r="I35" s="10" t="n">
        <v>378.9</v>
      </c>
    </row>
    <row r="36" ht="22" customHeight="1">
      <c r="B36" s="11" t="n">
        <v>32</v>
      </c>
      <c r="C36" s="12" t="inlineStr">
        <is>
          <t>Лак яхтный</t>
        </is>
      </c>
      <c r="D36" s="12" t="inlineStr">
        <is>
          <t>Лак яхтный атмосферостойкий</t>
        </is>
      </c>
      <c r="E36" s="12" t="inlineStr">
        <is>
          <t>MONLID</t>
        </is>
      </c>
      <c r="F36" s="12" t="inlineStr">
        <is>
          <t>4.6 кг</t>
        </is>
      </c>
      <c r="G36" s="13" t="n">
        <v>1450</v>
      </c>
      <c r="H36" s="12" t="inlineStr">
        <is>
          <t>кг</t>
        </is>
      </c>
      <c r="I36" s="13" t="n">
        <v>315.2</v>
      </c>
    </row>
    <row r="37" ht="22" customHeight="1">
      <c r="B37" s="8" t="n">
        <v>33</v>
      </c>
      <c r="C37" s="9" t="inlineStr">
        <is>
          <t>Лак яхтный</t>
        </is>
      </c>
      <c r="D37" s="9" t="inlineStr">
        <is>
          <t>Лак яхтный атмосферостойкий</t>
        </is>
      </c>
      <c r="E37" s="9" t="inlineStr">
        <is>
          <t>Luxens</t>
        </is>
      </c>
      <c r="F37" s="9" t="inlineStr">
        <is>
          <t>0.7 кг</t>
        </is>
      </c>
      <c r="G37" s="10" t="n">
        <v>510</v>
      </c>
      <c r="H37" s="9" t="inlineStr">
        <is>
          <t>кг</t>
        </is>
      </c>
      <c r="I37" s="10" t="n">
        <v>728.6</v>
      </c>
    </row>
    <row r="38" ht="22" customHeight="1">
      <c r="B38" s="11" t="n">
        <v>34</v>
      </c>
      <c r="C38" s="12" t="inlineStr">
        <is>
          <t>Лак яхтный</t>
        </is>
      </c>
      <c r="D38" s="12" t="inlineStr">
        <is>
          <t>Лак яхтный атмосферостойкий</t>
        </is>
      </c>
      <c r="E38" s="12" t="inlineStr">
        <is>
          <t>Luxens</t>
        </is>
      </c>
      <c r="F38" s="12" t="inlineStr">
        <is>
          <t>1.9 кг</t>
        </is>
      </c>
      <c r="G38" s="13" t="n">
        <v>1020</v>
      </c>
      <c r="H38" s="12" t="inlineStr">
        <is>
          <t>кг</t>
        </is>
      </c>
      <c r="I38" s="13" t="n">
        <v>536.8</v>
      </c>
    </row>
    <row r="39" ht="22" customHeight="1">
      <c r="B39" s="8" t="n">
        <v>35</v>
      </c>
      <c r="C39" s="9" t="inlineStr">
        <is>
          <t>Лак яхтный</t>
        </is>
      </c>
      <c r="D39" s="9" t="inlineStr">
        <is>
          <t>Лак яхтный атмосферостойкий</t>
        </is>
      </c>
      <c r="E39" s="9" t="inlineStr">
        <is>
          <t>Luxens</t>
        </is>
      </c>
      <c r="F39" s="9" t="inlineStr">
        <is>
          <t>4.6 кг</t>
        </is>
      </c>
      <c r="G39" s="10" t="n">
        <v>2050</v>
      </c>
      <c r="H39" s="9" t="inlineStr">
        <is>
          <t>кг</t>
        </is>
      </c>
      <c r="I39" s="10" t="n">
        <v>445.7</v>
      </c>
    </row>
    <row r="40" ht="22" customHeight="1">
      <c r="B40" s="11" t="n">
        <v>36</v>
      </c>
      <c r="C40" s="12" t="inlineStr">
        <is>
          <t>Лак паркетный</t>
        </is>
      </c>
      <c r="D40" s="12" t="inlineStr">
        <is>
          <t>Лак паркетный AVANTGARDE</t>
        </is>
      </c>
      <c r="E40" s="12" t="inlineStr">
        <is>
          <t>AVANTGARDE</t>
        </is>
      </c>
      <c r="F40" s="12" t="inlineStr">
        <is>
          <t>0.75 л</t>
        </is>
      </c>
      <c r="G40" s="13" t="n">
        <v>820</v>
      </c>
      <c r="H40" s="12" t="inlineStr">
        <is>
          <t>л</t>
        </is>
      </c>
      <c r="I40" s="13" t="n">
        <v>1093.3</v>
      </c>
    </row>
    <row r="41" ht="22" customHeight="1">
      <c r="B41" s="8" t="n">
        <v>37</v>
      </c>
      <c r="C41" s="9" t="inlineStr">
        <is>
          <t>Лак паркетный</t>
        </is>
      </c>
      <c r="D41" s="9" t="inlineStr">
        <is>
          <t>Лак паркетный AVANTGARDE</t>
        </is>
      </c>
      <c r="E41" s="9" t="inlineStr">
        <is>
          <t>AVANTGARDE</t>
        </is>
      </c>
      <c r="F41" s="9" t="inlineStr">
        <is>
          <t>2 л</t>
        </is>
      </c>
      <c r="G41" s="10" t="n">
        <v>1850</v>
      </c>
      <c r="H41" s="9" t="inlineStr">
        <is>
          <t>л</t>
        </is>
      </c>
      <c r="I41" s="10" t="n">
        <v>925</v>
      </c>
    </row>
    <row r="42" ht="22" customHeight="1">
      <c r="B42" s="11" t="n">
        <v>38</v>
      </c>
      <c r="C42" s="12" t="inlineStr">
        <is>
          <t>Лак паркетный</t>
        </is>
      </c>
      <c r="D42" s="12" t="inlineStr">
        <is>
          <t>Лак паркетный AVANTGARDE</t>
        </is>
      </c>
      <c r="E42" s="12" t="inlineStr">
        <is>
          <t>AVANTGARDE</t>
        </is>
      </c>
      <c r="F42" s="12" t="inlineStr">
        <is>
          <t>4.5 л</t>
        </is>
      </c>
      <c r="G42" s="13" t="n">
        <v>3600</v>
      </c>
      <c r="H42" s="12" t="inlineStr">
        <is>
          <t>л</t>
        </is>
      </c>
      <c r="I42" s="13" t="n">
        <v>800</v>
      </c>
    </row>
    <row r="43" ht="22" customHeight="1">
      <c r="B43" s="8" t="n">
        <v>39</v>
      </c>
      <c r="C43" s="9" t="inlineStr">
        <is>
          <t>Краска ВД потолочная</t>
        </is>
      </c>
      <c r="D43" s="9" t="inlineStr">
        <is>
          <t>Краска ВД для потолков</t>
        </is>
      </c>
      <c r="E43" s="9" t="inlineStr">
        <is>
          <t>PL ЛЕРУА</t>
        </is>
      </c>
      <c r="F43" s="9" t="inlineStr">
        <is>
          <t>3 кг</t>
        </is>
      </c>
      <c r="G43" s="10" t="n">
        <v>360</v>
      </c>
      <c r="H43" s="9" t="inlineStr">
        <is>
          <t>кг</t>
        </is>
      </c>
      <c r="I43" s="10" t="n">
        <v>120</v>
      </c>
    </row>
    <row r="44" ht="22" customHeight="1">
      <c r="B44" s="11" t="n">
        <v>40</v>
      </c>
      <c r="C44" s="12" t="inlineStr">
        <is>
          <t>Краска ВД потолочная</t>
        </is>
      </c>
      <c r="D44" s="12" t="inlineStr">
        <is>
          <t>Краска ВД для потолков</t>
        </is>
      </c>
      <c r="E44" s="12" t="inlineStr">
        <is>
          <t>PL ЛЕРУА</t>
        </is>
      </c>
      <c r="F44" s="12" t="inlineStr">
        <is>
          <t>6.5 кг</t>
        </is>
      </c>
      <c r="G44" s="13" t="n">
        <v>670</v>
      </c>
      <c r="H44" s="12" t="inlineStr">
        <is>
          <t>кг</t>
        </is>
      </c>
      <c r="I44" s="13" t="n">
        <v>103.1</v>
      </c>
    </row>
    <row r="45" ht="22" customHeight="1">
      <c r="B45" s="8" t="n">
        <v>41</v>
      </c>
      <c r="C45" s="9" t="inlineStr">
        <is>
          <t>Краска ВД потолочная</t>
        </is>
      </c>
      <c r="D45" s="9" t="inlineStr">
        <is>
          <t>Краска ВД для потолков</t>
        </is>
      </c>
      <c r="E45" s="9" t="inlineStr">
        <is>
          <t>PL ЛЕРУА</t>
        </is>
      </c>
      <c r="F45" s="9" t="inlineStr">
        <is>
          <t>14 кг</t>
        </is>
      </c>
      <c r="G45" s="10" t="n">
        <v>1250</v>
      </c>
      <c r="H45" s="9" t="inlineStr">
        <is>
          <t>кг</t>
        </is>
      </c>
      <c r="I45" s="10" t="n">
        <v>89.3</v>
      </c>
    </row>
    <row r="46" ht="22" customHeight="1">
      <c r="B46" s="11" t="n">
        <v>42</v>
      </c>
      <c r="C46" s="12" t="inlineStr">
        <is>
          <t>Краска ВД для стен</t>
        </is>
      </c>
      <c r="D46" s="12" t="inlineStr">
        <is>
          <t>Краска ВД моющаяся (база А/С)</t>
        </is>
      </c>
      <c r="E46" s="12" t="inlineStr">
        <is>
          <t>ОРЕОЛ</t>
        </is>
      </c>
      <c r="F46" s="12" t="inlineStr">
        <is>
          <t>2.2 л</t>
        </is>
      </c>
      <c r="G46" s="13" t="n">
        <v>470</v>
      </c>
      <c r="H46" s="12" t="inlineStr">
        <is>
          <t>л</t>
        </is>
      </c>
      <c r="I46" s="13" t="n">
        <v>213.6</v>
      </c>
    </row>
    <row r="47" ht="22" customHeight="1">
      <c r="B47" s="8" t="n">
        <v>43</v>
      </c>
      <c r="C47" s="9" t="inlineStr">
        <is>
          <t>Краска ВД для стен</t>
        </is>
      </c>
      <c r="D47" s="9" t="inlineStr">
        <is>
          <t>Краска ВД моющаяся (база А/С)</t>
        </is>
      </c>
      <c r="E47" s="9" t="inlineStr">
        <is>
          <t>ОРЕОЛ</t>
        </is>
      </c>
      <c r="F47" s="9" t="inlineStr">
        <is>
          <t>9 л</t>
        </is>
      </c>
      <c r="G47" s="10" t="n">
        <v>1550</v>
      </c>
      <c r="H47" s="9" t="inlineStr">
        <is>
          <t>л</t>
        </is>
      </c>
      <c r="I47" s="10" t="n">
        <v>172.2</v>
      </c>
    </row>
    <row r="48" ht="22" customHeight="1">
      <c r="B48" s="11" t="n">
        <v>44</v>
      </c>
      <c r="C48" s="12" t="inlineStr">
        <is>
          <t>Краска ВД фасадная</t>
        </is>
      </c>
      <c r="D48" s="12" t="inlineStr">
        <is>
          <t>Краска ВД для фасадов (база А/С)</t>
        </is>
      </c>
      <c r="E48" s="12" t="inlineStr">
        <is>
          <t>ОРЕОЛ</t>
        </is>
      </c>
      <c r="F48" s="12" t="inlineStr">
        <is>
          <t>9 л</t>
        </is>
      </c>
      <c r="G48" s="13" t="n">
        <v>1850</v>
      </c>
      <c r="H48" s="12" t="inlineStr">
        <is>
          <t>л</t>
        </is>
      </c>
      <c r="I48" s="13" t="n">
        <v>205.6</v>
      </c>
    </row>
    <row r="49" ht="22" customHeight="1">
      <c r="B49" s="8" t="n">
        <v>45</v>
      </c>
      <c r="C49" s="9" t="inlineStr">
        <is>
          <t>Краска фактурная</t>
        </is>
      </c>
      <c r="D49" s="9" t="inlineStr">
        <is>
          <t>Краска фактурная</t>
        </is>
      </c>
      <c r="E49" s="9" t="inlineStr">
        <is>
          <t>ОРЕОЛ</t>
        </is>
      </c>
      <c r="F49" s="9" t="inlineStr">
        <is>
          <t>8 кг</t>
        </is>
      </c>
      <c r="G49" s="10" t="n">
        <v>1250</v>
      </c>
      <c r="H49" s="9" t="inlineStr">
        <is>
          <t>кг</t>
        </is>
      </c>
      <c r="I49" s="10" t="n">
        <v>156.2</v>
      </c>
    </row>
    <row r="50" ht="22" customHeight="1">
      <c r="B50" s="11" t="n">
        <v>46</v>
      </c>
      <c r="C50" s="12" t="inlineStr">
        <is>
          <t>Краска фактурная</t>
        </is>
      </c>
      <c r="D50" s="12" t="inlineStr">
        <is>
          <t>Краска фактурная</t>
        </is>
      </c>
      <c r="E50" s="12" t="inlineStr">
        <is>
          <t>ОРЕОЛ</t>
        </is>
      </c>
      <c r="F50" s="12" t="inlineStr">
        <is>
          <t>16 кг</t>
        </is>
      </c>
      <c r="G50" s="13" t="n">
        <v>2250</v>
      </c>
      <c r="H50" s="12" t="inlineStr">
        <is>
          <t>кг</t>
        </is>
      </c>
      <c r="I50" s="13" t="n">
        <v>140.6</v>
      </c>
    </row>
    <row r="51" ht="22" customHeight="1">
      <c r="B51" s="8" t="n">
        <v>47</v>
      </c>
      <c r="C51" s="9" t="inlineStr">
        <is>
          <t>Эмаль для радиаторов</t>
        </is>
      </c>
      <c r="D51" s="9" t="inlineStr">
        <is>
          <t>Эмаль для радиаторов</t>
        </is>
      </c>
      <c r="E51" s="9" t="inlineStr">
        <is>
          <t>ПростоКРАСКА</t>
        </is>
      </c>
      <c r="F51" s="9" t="inlineStr">
        <is>
          <t>0.9 кг</t>
        </is>
      </c>
      <c r="G51" s="10" t="n">
        <v>260</v>
      </c>
      <c r="H51" s="9" t="inlineStr">
        <is>
          <t>кг</t>
        </is>
      </c>
      <c r="I51" s="10" t="n">
        <v>288.9</v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НОРМЫ РАСХОДА И СРОКИ СЛУЖБЫ</t>
        </is>
      </c>
    </row>
    <row r="3" ht="8" customHeight="1"/>
    <row r="4" ht="28" customHeight="1">
      <c r="B4" s="7" t="inlineStr">
        <is>
          <t>№</t>
        </is>
      </c>
      <c r="C4" s="7" t="inlineStr">
        <is>
          <t>Категория продукта</t>
        </is>
      </c>
      <c r="D4" s="7" t="inlineStr">
        <is>
          <t>Расход (г/м²/слой)</t>
        </is>
      </c>
      <c r="E4" s="7" t="inlineStr">
        <is>
          <t>Слоёв</t>
        </is>
      </c>
      <c r="F4" s="7" t="inlineStr">
        <is>
          <t>Срок службы (лет)</t>
        </is>
      </c>
      <c r="G4" s="7" t="inlineStr">
        <is>
          <t>Цена за кг/л (₽)</t>
        </is>
      </c>
      <c r="H4" s="7" t="inlineStr">
        <is>
          <t>Расход всего (г/м²)</t>
        </is>
      </c>
    </row>
    <row r="5" ht="22" customHeight="1">
      <c r="B5" s="9" t="n">
        <v>1</v>
      </c>
      <c r="C5" s="9" t="inlineStr">
        <is>
          <t>Грунтовка ГФ-021</t>
        </is>
      </c>
      <c r="D5" s="8" t="n">
        <v>70</v>
      </c>
      <c r="E5" s="8" t="n">
        <v>1</v>
      </c>
      <c r="F5" s="9" t="inlineStr">
        <is>
          <t>—</t>
        </is>
      </c>
      <c r="G5" s="10" t="n">
        <v>124</v>
      </c>
      <c r="H5" s="8" t="n">
        <v>70</v>
      </c>
    </row>
    <row r="6" ht="22" customHeight="1">
      <c r="B6" s="12" t="n">
        <v>2</v>
      </c>
      <c r="C6" s="12" t="inlineStr">
        <is>
          <t>Грунтовка ВД</t>
        </is>
      </c>
      <c r="D6" s="11" t="n">
        <v>100</v>
      </c>
      <c r="E6" s="11" t="n">
        <v>1</v>
      </c>
      <c r="F6" s="12" t="inlineStr">
        <is>
          <t>—</t>
        </is>
      </c>
      <c r="G6" s="13" t="n">
        <v>31</v>
      </c>
      <c r="H6" s="11" t="n">
        <v>100</v>
      </c>
    </row>
    <row r="7" ht="22" customHeight="1">
      <c r="B7" s="9" t="n">
        <v>3</v>
      </c>
      <c r="C7" s="9" t="inlineStr">
        <is>
          <t>Эмаль ПФ-115 ПростоКРАСКА</t>
        </is>
      </c>
      <c r="D7" s="8" t="n">
        <v>120</v>
      </c>
      <c r="E7" s="8" t="n">
        <v>2</v>
      </c>
      <c r="F7" s="9" t="n">
        <v>3</v>
      </c>
      <c r="G7" s="10" t="n">
        <v>90</v>
      </c>
      <c r="H7" s="8" t="n">
        <v>240</v>
      </c>
    </row>
    <row r="8" ht="22" customHeight="1">
      <c r="B8" s="12" t="n">
        <v>4</v>
      </c>
      <c r="C8" s="12" t="inlineStr">
        <is>
          <t>Эмаль ПФ-115 ОРЕОЛ Premium</t>
        </is>
      </c>
      <c r="D8" s="11" t="n">
        <v>110</v>
      </c>
      <c r="E8" s="11" t="n">
        <v>2</v>
      </c>
      <c r="F8" s="12" t="n">
        <v>5</v>
      </c>
      <c r="G8" s="13" t="n">
        <v>241</v>
      </c>
      <c r="H8" s="11" t="n">
        <v>220</v>
      </c>
    </row>
    <row r="9" ht="22" customHeight="1">
      <c r="B9" s="9" t="n">
        <v>5</v>
      </c>
      <c r="C9" s="9" t="inlineStr">
        <is>
          <t>Эмаль ПФ-115 ЭКОНОМ Л</t>
        </is>
      </c>
      <c r="D9" s="8" t="n">
        <v>130</v>
      </c>
      <c r="E9" s="8" t="n">
        <v>2</v>
      </c>
      <c r="F9" s="9" t="n">
        <v>2</v>
      </c>
      <c r="G9" s="10" t="n">
        <v>83</v>
      </c>
      <c r="H9" s="8" t="n">
        <v>260</v>
      </c>
    </row>
    <row r="10" ht="22" customHeight="1">
      <c r="B10" s="12" t="n">
        <v>6</v>
      </c>
      <c r="C10" s="12" t="inlineStr">
        <is>
          <t>Грунт-эмаль 3в1 ОРЕОЛ</t>
        </is>
      </c>
      <c r="D10" s="11" t="n">
        <v>100</v>
      </c>
      <c r="E10" s="11" t="n">
        <v>2</v>
      </c>
      <c r="F10" s="12" t="n">
        <v>4</v>
      </c>
      <c r="G10" s="13" t="n">
        <v>215</v>
      </c>
      <c r="H10" s="11" t="n">
        <v>200</v>
      </c>
    </row>
    <row r="11" ht="22" customHeight="1">
      <c r="B11" s="9" t="n">
        <v>7</v>
      </c>
      <c r="C11" s="9" t="inlineStr">
        <is>
          <t>Грунт-эмаль TITAN</t>
        </is>
      </c>
      <c r="D11" s="8" t="n">
        <v>90</v>
      </c>
      <c r="E11" s="8" t="n">
        <v>2</v>
      </c>
      <c r="F11" s="9" t="n">
        <v>8</v>
      </c>
      <c r="G11" s="10" t="n">
        <v>610</v>
      </c>
      <c r="H11" s="8" t="n">
        <v>180</v>
      </c>
    </row>
    <row r="12" ht="22" customHeight="1">
      <c r="B12" s="12" t="n">
        <v>8</v>
      </c>
      <c r="C12" s="12" t="inlineStr">
        <is>
          <t>Грунт-эмаль Paint Lab</t>
        </is>
      </c>
      <c r="D12" s="11" t="n">
        <v>95</v>
      </c>
      <c r="E12" s="11" t="n">
        <v>2</v>
      </c>
      <c r="F12" s="12" t="n">
        <v>5</v>
      </c>
      <c r="G12" s="13" t="n">
        <v>310</v>
      </c>
      <c r="H12" s="11" t="n">
        <v>190</v>
      </c>
    </row>
    <row r="13" ht="22" customHeight="1">
      <c r="B13" s="9" t="n">
        <v>9</v>
      </c>
      <c r="C13" s="9" t="inlineStr">
        <is>
          <t>Эмаль Расцвет для пола</t>
        </is>
      </c>
      <c r="D13" s="8" t="n">
        <v>120</v>
      </c>
      <c r="E13" s="8" t="n">
        <v>2</v>
      </c>
      <c r="F13" s="9" t="n">
        <v>7</v>
      </c>
      <c r="G13" s="10" t="n">
        <v>168</v>
      </c>
      <c r="H13" s="8" t="n">
        <v>240</v>
      </c>
    </row>
    <row r="14" ht="22" customHeight="1">
      <c r="B14" s="12" t="n">
        <v>10</v>
      </c>
      <c r="C14" s="12" t="inlineStr">
        <is>
          <t>Лак яхтный MONLID</t>
        </is>
      </c>
      <c r="D14" s="11" t="n">
        <v>90</v>
      </c>
      <c r="E14" s="11" t="n">
        <v>3</v>
      </c>
      <c r="F14" s="12" t="n">
        <v>4</v>
      </c>
      <c r="G14" s="13" t="n">
        <v>315</v>
      </c>
      <c r="H14" s="11" t="n">
        <v>270</v>
      </c>
    </row>
    <row r="15" ht="22" customHeight="1">
      <c r="B15" s="9" t="n">
        <v>11</v>
      </c>
      <c r="C15" s="9" t="inlineStr">
        <is>
          <t>Лак яхтный Luxens</t>
        </is>
      </c>
      <c r="D15" s="8" t="n">
        <v>85</v>
      </c>
      <c r="E15" s="8" t="n">
        <v>3</v>
      </c>
      <c r="F15" s="9" t="n">
        <v>6</v>
      </c>
      <c r="G15" s="10" t="n">
        <v>446</v>
      </c>
      <c r="H15" s="8" t="n">
        <v>255</v>
      </c>
    </row>
    <row r="16" ht="22" customHeight="1">
      <c r="B16" s="12" t="n">
        <v>12</v>
      </c>
      <c r="C16" s="12" t="inlineStr">
        <is>
          <t>Лак паркетный AVANTGARDE</t>
        </is>
      </c>
      <c r="D16" s="11" t="n">
        <v>100</v>
      </c>
      <c r="E16" s="11" t="n">
        <v>3</v>
      </c>
      <c r="F16" s="12" t="n">
        <v>7</v>
      </c>
      <c r="G16" s="13" t="n">
        <v>800</v>
      </c>
      <c r="H16" s="11" t="n">
        <v>300</v>
      </c>
    </row>
    <row r="17" ht="22" customHeight="1">
      <c r="B17" s="9" t="n">
        <v>13</v>
      </c>
      <c r="C17" s="9" t="inlineStr">
        <is>
          <t>Краска ВД потолочная</t>
        </is>
      </c>
      <c r="D17" s="8" t="n">
        <v>130</v>
      </c>
      <c r="E17" s="8" t="n">
        <v>2</v>
      </c>
      <c r="F17" s="9" t="n">
        <v>7</v>
      </c>
      <c r="G17" s="10" t="n">
        <v>89</v>
      </c>
      <c r="H17" s="8" t="n">
        <v>260</v>
      </c>
    </row>
    <row r="18" ht="22" customHeight="1">
      <c r="B18" s="12" t="n">
        <v>14</v>
      </c>
      <c r="C18" s="12" t="inlineStr">
        <is>
          <t>Краска ВД моющаяся</t>
        </is>
      </c>
      <c r="D18" s="11" t="n">
        <v>120</v>
      </c>
      <c r="E18" s="11" t="n">
        <v>2</v>
      </c>
      <c r="F18" s="12" t="n">
        <v>7</v>
      </c>
      <c r="G18" s="13" t="n">
        <v>172</v>
      </c>
      <c r="H18" s="11" t="n">
        <v>240</v>
      </c>
    </row>
    <row r="19" ht="22" customHeight="1">
      <c r="B19" s="9" t="n">
        <v>15</v>
      </c>
      <c r="C19" s="9" t="inlineStr">
        <is>
          <t>Краска ВД фасадная</t>
        </is>
      </c>
      <c r="D19" s="8" t="n">
        <v>130</v>
      </c>
      <c r="E19" s="8" t="n">
        <v>2</v>
      </c>
      <c r="F19" s="9" t="n">
        <v>6</v>
      </c>
      <c r="G19" s="10" t="n">
        <v>206</v>
      </c>
      <c r="H19" s="8" t="n">
        <v>260</v>
      </c>
    </row>
    <row r="20" ht="22" customHeight="1">
      <c r="B20" s="12" t="n">
        <v>16</v>
      </c>
      <c r="C20" s="12" t="inlineStr">
        <is>
          <t>Краска фактурная</t>
        </is>
      </c>
      <c r="D20" s="11" t="n">
        <v>800</v>
      </c>
      <c r="E20" s="11" t="n">
        <v>1</v>
      </c>
      <c r="F20" s="12" t="n">
        <v>7</v>
      </c>
      <c r="G20" s="13" t="n">
        <v>141</v>
      </c>
      <c r="H20" s="11" t="n">
        <v>800</v>
      </c>
    </row>
    <row r="21" ht="22" customHeight="1">
      <c r="B21" s="9" t="n">
        <v>17</v>
      </c>
      <c r="C21" s="9" t="inlineStr">
        <is>
          <t>Эмаль для радиаторов</t>
        </is>
      </c>
      <c r="D21" s="8" t="n">
        <v>100</v>
      </c>
      <c r="E21" s="8" t="n">
        <v>2</v>
      </c>
      <c r="F21" s="9" t="n">
        <v>7</v>
      </c>
      <c r="G21" s="10" t="n">
        <v>289</v>
      </c>
      <c r="H21" s="8" t="n">
        <v>200</v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0" customWidth="1" min="9" max="9"/>
    <col width="16" customWidth="1" min="10" max="10"/>
    <col width="14" customWidth="1" min="11" max="11"/>
    <col width="14" customWidth="1" min="12" max="12"/>
    <col width="18" customWidth="1" min="13" max="13"/>
    <col width="16" customWidth="1" min="14" max="14"/>
    <col width="14" customWidth="1" min="15" max="15"/>
  </cols>
  <sheetData>
    <row r="1" ht="15" customHeight="1"/>
    <row r="2" ht="32" customHeight="1">
      <c r="B2" s="1" t="inlineStr">
        <is>
          <t>КАЛЬКУЛЯТОР ТСО — ТЕХНОЛОГИЧЕСКИЕ ЦЕПОЧКИ ЛЕМАНА ПРО</t>
        </is>
      </c>
    </row>
    <row r="3" ht="8" customHeight="1"/>
    <row r="4" ht="28" customHeight="1">
      <c r="B4" s="14" t="inlineStr">
        <is>
          <t>Цепочка 1. Защита металла: грунт + эмаль  [Металл]  Приоритет: ВЫСОКИЙ</t>
        </is>
      </c>
    </row>
    <row r="5">
      <c r="B5" s="6" t="inlineStr">
        <is>
          <t>Проблема: Ржавый металл: заборы, ворота, трубы, гаражи. Нужно надёжное покрытие на годы.</t>
        </is>
      </c>
    </row>
    <row r="6">
      <c r="B6" s="15" t="inlineStr">
        <is>
          <t>Объект: Ворота металлические | Площадь: 16 м² | Горизонт: 10 лет</t>
        </is>
      </c>
    </row>
    <row r="7" ht="28" customHeight="1">
      <c r="B7" s="7" t="inlineStr">
        <is>
          <t>Вариант</t>
        </is>
      </c>
      <c r="C7" s="7" t="inlineStr">
        <is>
          <t>Шаг 1</t>
        </is>
      </c>
      <c r="D7" s="7" t="inlineStr">
        <is>
          <t>Шаг 2</t>
        </is>
      </c>
      <c r="E7" s="7" t="inlineStr">
        <is>
          <t>Материал (₽/м²)</t>
        </is>
      </c>
      <c r="F7" s="7" t="inlineStr">
        <is>
          <t>Работа (₽/м²)</t>
        </is>
      </c>
      <c r="G7" s="7" t="inlineStr">
        <is>
          <t>Материал всего (₽)</t>
        </is>
      </c>
      <c r="H7" s="7" t="inlineStr">
        <is>
          <t>Работа всего (₽)</t>
        </is>
      </c>
      <c r="I7" s="7" t="inlineStr">
        <is>
          <t>Стоимость 1 цикла (₽)</t>
        </is>
      </c>
      <c r="J7" s="7" t="inlineStr">
        <is>
          <t>Перекраска (₽)</t>
        </is>
      </c>
      <c r="K7" s="7" t="inlineStr">
        <is>
          <t>Срок службы (лет)</t>
        </is>
      </c>
      <c r="L7" s="7" t="inlineStr">
        <is>
          <t>Кол-во циклов</t>
        </is>
      </c>
      <c r="M7" s="7" t="inlineStr">
        <is>
          <t>ТСО за 10 лет (₽)</t>
        </is>
      </c>
      <c r="N7" s="7" t="inlineStr">
        <is>
          <t>Экономия vs макс. (₽)</t>
        </is>
      </c>
      <c r="O7" s="7" t="inlineStr">
        <is>
          <t>Экономия vs макс. (%)</t>
        </is>
      </c>
    </row>
    <row r="8" ht="22" customHeight="1">
      <c r="B8" s="9" t="inlineStr">
        <is>
          <t>Эконом: ГФ-021 + ПФ-115 ПростоКРАСКА</t>
        </is>
      </c>
      <c r="C8" s="9" t="inlineStr">
        <is>
          <t>Грунтовка ГФ-021</t>
        </is>
      </c>
      <c r="D8" s="9" t="inlineStr">
        <is>
          <t>Эмаль ПФ-115 ПростоКРАСКА</t>
        </is>
      </c>
      <c r="E8" s="10" t="n">
        <v>30.28</v>
      </c>
      <c r="F8" s="10" t="n">
        <v>550</v>
      </c>
      <c r="G8" s="10" t="n">
        <v>484</v>
      </c>
      <c r="H8" s="10" t="n">
        <v>8800</v>
      </c>
      <c r="I8" s="10" t="n">
        <v>9284</v>
      </c>
      <c r="J8" s="10" t="n">
        <v>6346</v>
      </c>
      <c r="K8" s="9" t="n">
        <v>3</v>
      </c>
      <c r="L8" s="16" t="n">
        <v>4</v>
      </c>
      <c r="M8" s="17" t="n">
        <v>28321</v>
      </c>
      <c r="N8" s="16" t="n">
        <v>0</v>
      </c>
      <c r="O8" s="18" t="n">
        <v>0</v>
      </c>
    </row>
    <row r="9" ht="22" customHeight="1">
      <c r="B9" s="12" t="inlineStr">
        <is>
          <t>Средний: ГФ-021 + ПФ-115 ОРЕОЛ Premium</t>
        </is>
      </c>
      <c r="C9" s="12" t="inlineStr">
        <is>
          <t>Грунтовка ГФ-021</t>
        </is>
      </c>
      <c r="D9" s="12" t="inlineStr">
        <is>
          <t>Эмаль ПФ-115 ОРЕОЛ Premium</t>
        </is>
      </c>
      <c r="E9" s="13" t="n">
        <v>61.7</v>
      </c>
      <c r="F9" s="13" t="n">
        <v>550</v>
      </c>
      <c r="G9" s="13" t="n">
        <v>987</v>
      </c>
      <c r="H9" s="13" t="n">
        <v>8800</v>
      </c>
      <c r="I9" s="13" t="n">
        <v>9787</v>
      </c>
      <c r="J9" s="13" t="n">
        <v>6848</v>
      </c>
      <c r="K9" s="12" t="n">
        <v>5</v>
      </c>
      <c r="L9" s="19" t="n">
        <v>2</v>
      </c>
      <c r="M9" s="20" t="n">
        <v>16636</v>
      </c>
      <c r="N9" s="19" t="n">
        <v>11685</v>
      </c>
      <c r="O9" s="21" t="n">
        <v>0.4125913632993185</v>
      </c>
    </row>
    <row r="12" ht="28" customHeight="1">
      <c r="B12" s="14" t="inlineStr">
        <is>
          <t>Цепочка 2. Быстрая покраска металла (3в1)  [Металл]  Приоритет: ВЫСОКИЙ</t>
        </is>
      </c>
    </row>
    <row r="13">
      <c r="B13" s="6" t="inlineStr">
        <is>
          <t>Проблема: Нет времени грунтовать — нужно покрасить ржавый забор или трубу за один проход.</t>
        </is>
      </c>
    </row>
    <row r="14">
      <c r="B14" s="15" t="inlineStr">
        <is>
          <t>Объект: Забор металлический | Площадь: 30 м² | Горизонт: 10 лет</t>
        </is>
      </c>
    </row>
    <row r="15" ht="28" customHeight="1">
      <c r="B15" s="7" t="inlineStr">
        <is>
          <t>Вариант</t>
        </is>
      </c>
      <c r="C15" s="7" t="inlineStr">
        <is>
          <t>Шаг 1</t>
        </is>
      </c>
      <c r="D15" s="7" t="inlineStr">
        <is>
          <t>Шаг 2</t>
        </is>
      </c>
      <c r="E15" s="7" t="inlineStr">
        <is>
          <t>Материал (₽/м²)</t>
        </is>
      </c>
      <c r="F15" s="7" t="inlineStr">
        <is>
          <t>Работа (₽/м²)</t>
        </is>
      </c>
      <c r="G15" s="7" t="inlineStr">
        <is>
          <t>Материал всего (₽)</t>
        </is>
      </c>
      <c r="H15" s="7" t="inlineStr">
        <is>
          <t>Работа всего (₽)</t>
        </is>
      </c>
      <c r="I15" s="7" t="inlineStr">
        <is>
          <t>Стоимость 1 цикла (₽)</t>
        </is>
      </c>
      <c r="J15" s="7" t="inlineStr">
        <is>
          <t>Перекраска (₽)</t>
        </is>
      </c>
      <c r="K15" s="7" t="inlineStr">
        <is>
          <t>Срок службы (лет)</t>
        </is>
      </c>
      <c r="L15" s="7" t="inlineStr">
        <is>
          <t>Кол-во циклов</t>
        </is>
      </c>
      <c r="M15" s="7" t="inlineStr">
        <is>
          <t>ТСО за 10 лет (₽)</t>
        </is>
      </c>
      <c r="N15" s="7" t="inlineStr">
        <is>
          <t>Экономия vs макс. (₽)</t>
        </is>
      </c>
      <c r="O15" s="7" t="inlineStr">
        <is>
          <t>Экономия vs макс. (%)</t>
        </is>
      </c>
    </row>
    <row r="16" ht="22" customHeight="1">
      <c r="B16" s="9" t="inlineStr">
        <is>
          <t>3в1 ОРЕОЛ</t>
        </is>
      </c>
      <c r="C16" s="9" t="inlineStr">
        <is>
          <t>Грунт-эмаль 3в1 ОРЕОЛ</t>
        </is>
      </c>
      <c r="D16" s="9" t="inlineStr">
        <is>
          <t>—</t>
        </is>
      </c>
      <c r="E16" s="10" t="n">
        <v>43</v>
      </c>
      <c r="F16" s="10" t="n">
        <v>300</v>
      </c>
      <c r="G16" s="10" t="n">
        <v>1290</v>
      </c>
      <c r="H16" s="10" t="n">
        <v>9000</v>
      </c>
      <c r="I16" s="10" t="n">
        <v>10290</v>
      </c>
      <c r="J16" s="10" t="n">
        <v>10290</v>
      </c>
      <c r="K16" s="9" t="n">
        <v>4</v>
      </c>
      <c r="L16" s="16" t="n">
        <v>3</v>
      </c>
      <c r="M16" s="17" t="n">
        <v>30870</v>
      </c>
      <c r="N16" s="16" t="n">
        <v>0</v>
      </c>
      <c r="O16" s="18" t="n">
        <v>0</v>
      </c>
    </row>
    <row r="17" ht="22" customHeight="1">
      <c r="B17" s="12" t="inlineStr">
        <is>
          <t>Paint Lab</t>
        </is>
      </c>
      <c r="C17" s="12" t="inlineStr">
        <is>
          <t>Грунт-эмаль Paint Lab</t>
        </is>
      </c>
      <c r="D17" s="12" t="inlineStr">
        <is>
          <t>—</t>
        </is>
      </c>
      <c r="E17" s="13" t="n">
        <v>58.9</v>
      </c>
      <c r="F17" s="13" t="n">
        <v>300</v>
      </c>
      <c r="G17" s="13" t="n">
        <v>1767</v>
      </c>
      <c r="H17" s="13" t="n">
        <v>9000</v>
      </c>
      <c r="I17" s="13" t="n">
        <v>10767</v>
      </c>
      <c r="J17" s="13" t="n">
        <v>10767</v>
      </c>
      <c r="K17" s="12" t="n">
        <v>5</v>
      </c>
      <c r="L17" s="19" t="n">
        <v>2</v>
      </c>
      <c r="M17" s="20" t="n">
        <v>21534</v>
      </c>
      <c r="N17" s="19" t="n">
        <v>9336</v>
      </c>
      <c r="O17" s="21" t="n">
        <v>0.3024295432458698</v>
      </c>
    </row>
    <row r="18" ht="22" customHeight="1">
      <c r="B18" s="9" t="inlineStr">
        <is>
          <t>TITAN (премиум)</t>
        </is>
      </c>
      <c r="C18" s="9" t="inlineStr">
        <is>
          <t>Грунт-эмаль TITAN</t>
        </is>
      </c>
      <c r="D18" s="9" t="inlineStr">
        <is>
          <t>—</t>
        </is>
      </c>
      <c r="E18" s="10" t="n">
        <v>109.8</v>
      </c>
      <c r="F18" s="10" t="n">
        <v>300</v>
      </c>
      <c r="G18" s="10" t="n">
        <v>3294</v>
      </c>
      <c r="H18" s="10" t="n">
        <v>9000</v>
      </c>
      <c r="I18" s="10" t="n">
        <v>12294</v>
      </c>
      <c r="J18" s="10" t="n">
        <v>12294</v>
      </c>
      <c r="K18" s="9" t="n">
        <v>8</v>
      </c>
      <c r="L18" s="16" t="n">
        <v>2</v>
      </c>
      <c r="M18" s="17" t="n">
        <v>24588</v>
      </c>
      <c r="N18" s="16" t="n">
        <v>6282</v>
      </c>
      <c r="O18" s="18" t="n">
        <v>0.2034985422740525</v>
      </c>
    </row>
    <row r="21" ht="28" customHeight="1">
      <c r="B21" s="14" t="inlineStr">
        <is>
          <t>Цепочка 3. Премиум-покраска металла по RAL  [Металл]  Приоритет: ВЫСОКИЙ</t>
        </is>
      </c>
    </row>
    <row r="22">
      <c r="B22" s="6" t="inlineStr">
        <is>
          <t>Проблема: Нужен точный цвет по RAL для ворот, заборов, оборудования.</t>
        </is>
      </c>
    </row>
    <row r="23">
      <c r="B23" s="15" t="inlineStr">
        <is>
          <t>Объект: Ворота металлические | Площадь: 16 м² | Горизонт: 10 лет</t>
        </is>
      </c>
    </row>
    <row r="24" ht="28" customHeight="1">
      <c r="B24" s="7" t="inlineStr">
        <is>
          <t>Вариант</t>
        </is>
      </c>
      <c r="C24" s="7" t="inlineStr">
        <is>
          <t>Шаг 1</t>
        </is>
      </c>
      <c r="D24" s="7" t="inlineStr">
        <is>
          <t>Шаг 2</t>
        </is>
      </c>
      <c r="E24" s="7" t="inlineStr">
        <is>
          <t>Материал (₽/м²)</t>
        </is>
      </c>
      <c r="F24" s="7" t="inlineStr">
        <is>
          <t>Работа (₽/м²)</t>
        </is>
      </c>
      <c r="G24" s="7" t="inlineStr">
        <is>
          <t>Материал всего (₽)</t>
        </is>
      </c>
      <c r="H24" s="7" t="inlineStr">
        <is>
          <t>Работа всего (₽)</t>
        </is>
      </c>
      <c r="I24" s="7" t="inlineStr">
        <is>
          <t>Стоимость 1 цикла (₽)</t>
        </is>
      </c>
      <c r="J24" s="7" t="inlineStr">
        <is>
          <t>Перекраска (₽)</t>
        </is>
      </c>
      <c r="K24" s="7" t="inlineStr">
        <is>
          <t>Срок службы (лет)</t>
        </is>
      </c>
      <c r="L24" s="7" t="inlineStr">
        <is>
          <t>Кол-во циклов</t>
        </is>
      </c>
      <c r="M24" s="7" t="inlineStr">
        <is>
          <t>ТСО за 10 лет (₽)</t>
        </is>
      </c>
      <c r="N24" s="7" t="inlineStr">
        <is>
          <t>Экономия vs макс. (₽)</t>
        </is>
      </c>
      <c r="O24" s="7" t="inlineStr">
        <is>
          <t>Экономия vs макс. (%)</t>
        </is>
      </c>
    </row>
    <row r="25" ht="22" customHeight="1">
      <c r="B25" s="9" t="inlineStr">
        <is>
          <t>TITAN (грунт-эмаль по ржавчине)</t>
        </is>
      </c>
      <c r="C25" s="9" t="inlineStr">
        <is>
          <t>Грунт-эмаль TITAN</t>
        </is>
      </c>
      <c r="D25" s="9" t="inlineStr">
        <is>
          <t>—</t>
        </is>
      </c>
      <c r="E25" s="10" t="n">
        <v>109.8</v>
      </c>
      <c r="F25" s="10" t="n">
        <v>300</v>
      </c>
      <c r="G25" s="10" t="n">
        <v>1757</v>
      </c>
      <c r="H25" s="10" t="n">
        <v>4800</v>
      </c>
      <c r="I25" s="10" t="n">
        <v>6557</v>
      </c>
      <c r="J25" s="10" t="n">
        <v>6557</v>
      </c>
      <c r="K25" s="9" t="n">
        <v>8</v>
      </c>
      <c r="L25" s="16" t="n">
        <v>2</v>
      </c>
      <c r="M25" s="17" t="n">
        <v>13114</v>
      </c>
      <c r="N25" s="16" t="n">
        <v>0</v>
      </c>
      <c r="O25" s="18" t="n">
        <v>0</v>
      </c>
    </row>
    <row r="28" ht="28" customHeight="1">
      <c r="B28" s="14" t="inlineStr">
        <is>
          <t>Цепочка 4. Современная покраска металла — Paint Lab  [Металл]  Приоритет: СРЕДНИЙ</t>
        </is>
      </c>
    </row>
    <row r="29">
      <c r="B29" s="6" t="inlineStr">
        <is>
          <t>Проблема: Хочется стильнее классики, но без переплаты за TITAN.</t>
        </is>
      </c>
    </row>
    <row r="30">
      <c r="B30" s="15" t="inlineStr">
        <is>
          <t>Объект: Забор металлический | Площадь: 30 м² | Горизонт: 10 лет</t>
        </is>
      </c>
    </row>
    <row r="31" ht="28" customHeight="1">
      <c r="B31" s="7" t="inlineStr">
        <is>
          <t>Вариант</t>
        </is>
      </c>
      <c r="C31" s="7" t="inlineStr">
        <is>
          <t>Шаг 1</t>
        </is>
      </c>
      <c r="D31" s="7" t="inlineStr">
        <is>
          <t>Шаг 2</t>
        </is>
      </c>
      <c r="E31" s="7" t="inlineStr">
        <is>
          <t>Материал (₽/м²)</t>
        </is>
      </c>
      <c r="F31" s="7" t="inlineStr">
        <is>
          <t>Работа (₽/м²)</t>
        </is>
      </c>
      <c r="G31" s="7" t="inlineStr">
        <is>
          <t>Материал всего (₽)</t>
        </is>
      </c>
      <c r="H31" s="7" t="inlineStr">
        <is>
          <t>Работа всего (₽)</t>
        </is>
      </c>
      <c r="I31" s="7" t="inlineStr">
        <is>
          <t>Стоимость 1 цикла (₽)</t>
        </is>
      </c>
      <c r="J31" s="7" t="inlineStr">
        <is>
          <t>Перекраска (₽)</t>
        </is>
      </c>
      <c r="K31" s="7" t="inlineStr">
        <is>
          <t>Срок службы (лет)</t>
        </is>
      </c>
      <c r="L31" s="7" t="inlineStr">
        <is>
          <t>Кол-во циклов</t>
        </is>
      </c>
      <c r="M31" s="7" t="inlineStr">
        <is>
          <t>ТСО за 10 лет (₽)</t>
        </is>
      </c>
      <c r="N31" s="7" t="inlineStr">
        <is>
          <t>Экономия vs макс. (₽)</t>
        </is>
      </c>
      <c r="O31" s="7" t="inlineStr">
        <is>
          <t>Экономия vs макс. (%)</t>
        </is>
      </c>
    </row>
    <row r="32" ht="22" customHeight="1">
      <c r="B32" s="9" t="inlineStr">
        <is>
          <t>Paint Lab</t>
        </is>
      </c>
      <c r="C32" s="9" t="inlineStr">
        <is>
          <t>Грунт-эмаль Paint Lab</t>
        </is>
      </c>
      <c r="D32" s="9" t="inlineStr">
        <is>
          <t>—</t>
        </is>
      </c>
      <c r="E32" s="10" t="n">
        <v>58.9</v>
      </c>
      <c r="F32" s="10" t="n">
        <v>300</v>
      </c>
      <c r="G32" s="10" t="n">
        <v>1767</v>
      </c>
      <c r="H32" s="10" t="n">
        <v>9000</v>
      </c>
      <c r="I32" s="10" t="n">
        <v>10767</v>
      </c>
      <c r="J32" s="10" t="n">
        <v>10767</v>
      </c>
      <c r="K32" s="9" t="n">
        <v>5</v>
      </c>
      <c r="L32" s="16" t="n">
        <v>2</v>
      </c>
      <c r="M32" s="17" t="n">
        <v>21534</v>
      </c>
      <c r="N32" s="16" t="n">
        <v>0</v>
      </c>
      <c r="O32" s="18" t="n">
        <v>0</v>
      </c>
    </row>
    <row r="35" ht="28" customHeight="1">
      <c r="B35" s="14" t="inlineStr">
        <is>
          <t>Цепочка 5. Бетонный пол без пыли и истирания  [Полы]  Приоритет: ВЫСОКИЙ</t>
        </is>
      </c>
    </row>
    <row r="36">
      <c r="B36" s="6" t="inlineStr">
        <is>
          <t>Проблема: Бетонный пол в гараже/подвале пылит, впитывает масло, крошится.</t>
        </is>
      </c>
    </row>
    <row r="37">
      <c r="B37" s="15" t="inlineStr">
        <is>
          <t>Объект: Пол гаража (бетон) | Площадь: 20 м² | Горизонт: 10 лет</t>
        </is>
      </c>
    </row>
    <row r="38" ht="28" customHeight="1">
      <c r="B38" s="7" t="inlineStr">
        <is>
          <t>Вариант</t>
        </is>
      </c>
      <c r="C38" s="7" t="inlineStr">
        <is>
          <t>Шаг 1</t>
        </is>
      </c>
      <c r="D38" s="7" t="inlineStr">
        <is>
          <t>Шаг 2</t>
        </is>
      </c>
      <c r="E38" s="7" t="inlineStr">
        <is>
          <t>Материал (₽/м²)</t>
        </is>
      </c>
      <c r="F38" s="7" t="inlineStr">
        <is>
          <t>Работа (₽/м²)</t>
        </is>
      </c>
      <c r="G38" s="7" t="inlineStr">
        <is>
          <t>Материал всего (₽)</t>
        </is>
      </c>
      <c r="H38" s="7" t="inlineStr">
        <is>
          <t>Работа всего (₽)</t>
        </is>
      </c>
      <c r="I38" s="7" t="inlineStr">
        <is>
          <t>Стоимость 1 цикла (₽)</t>
        </is>
      </c>
      <c r="J38" s="7" t="inlineStr">
        <is>
          <t>Перекраска (₽)</t>
        </is>
      </c>
      <c r="K38" s="7" t="inlineStr">
        <is>
          <t>Срок службы (лет)</t>
        </is>
      </c>
      <c r="L38" s="7" t="inlineStr">
        <is>
          <t>Кол-во циклов</t>
        </is>
      </c>
      <c r="M38" s="7" t="inlineStr">
        <is>
          <t>ТСО за 10 лет (₽)</t>
        </is>
      </c>
      <c r="N38" s="7" t="inlineStr">
        <is>
          <t>Экономия vs макс. (₽)</t>
        </is>
      </c>
      <c r="O38" s="7" t="inlineStr">
        <is>
          <t>Экономия vs макс. (%)</t>
        </is>
      </c>
    </row>
    <row r="39" ht="22" customHeight="1">
      <c r="B39" s="9" t="inlineStr">
        <is>
          <t>Эконом: только Расцвет (без грунта)</t>
        </is>
      </c>
      <c r="C39" s="9" t="inlineStr">
        <is>
          <t>Эмаль Расцвет для пола</t>
        </is>
      </c>
      <c r="D39" s="9" t="inlineStr">
        <is>
          <t>—</t>
        </is>
      </c>
      <c r="E39" s="10" t="n">
        <v>72.58</v>
      </c>
      <c r="F39" s="10" t="n">
        <v>280</v>
      </c>
      <c r="G39" s="10" t="n">
        <v>1452</v>
      </c>
      <c r="H39" s="10" t="n">
        <v>5600</v>
      </c>
      <c r="I39" s="10" t="n">
        <v>7052</v>
      </c>
      <c r="J39" s="10" t="n">
        <v>7052</v>
      </c>
      <c r="K39" s="9" t="n">
        <v>4</v>
      </c>
      <c r="L39" s="16" t="n">
        <v>3</v>
      </c>
      <c r="M39" s="17" t="n">
        <v>21155</v>
      </c>
      <c r="N39" s="16" t="n">
        <v>0</v>
      </c>
      <c r="O39" s="18" t="n">
        <v>0</v>
      </c>
    </row>
    <row r="40" ht="22" customHeight="1">
      <c r="B40" s="12" t="inlineStr">
        <is>
          <t>Рекомендовано: ГФ-021 + Расцвет</t>
        </is>
      </c>
      <c r="C40" s="12" t="inlineStr">
        <is>
          <t>Грунтовка ГФ-021</t>
        </is>
      </c>
      <c r="D40" s="12" t="inlineStr">
        <is>
          <t>Эмаль Расцвет для пола</t>
        </is>
      </c>
      <c r="E40" s="13" t="n">
        <v>49</v>
      </c>
      <c r="F40" s="13" t="n">
        <v>530</v>
      </c>
      <c r="G40" s="13" t="n">
        <v>980</v>
      </c>
      <c r="H40" s="13" t="n">
        <v>10600</v>
      </c>
      <c r="I40" s="13" t="n">
        <v>11580</v>
      </c>
      <c r="J40" s="13" t="n">
        <v>7906</v>
      </c>
      <c r="K40" s="12" t="n">
        <v>7</v>
      </c>
      <c r="L40" s="19" t="n">
        <v>2</v>
      </c>
      <c r="M40" s="20" t="n">
        <v>19486</v>
      </c>
      <c r="N40" s="19" t="n">
        <v>1669</v>
      </c>
      <c r="O40" s="21" t="n">
        <v>0.07889387851571733</v>
      </c>
    </row>
    <row r="43" ht="28" customHeight="1">
      <c r="B43" s="14" t="inlineStr">
        <is>
          <t>Цепочка 6. Дерево на улице: забор, терраса  [Дерево (экстерьер)]  Приоритет: СРЕДНИЙ</t>
        </is>
      </c>
    </row>
    <row r="44">
      <c r="B44" s="6" t="inlineStr">
        <is>
          <t>Проблема: Забор/терраса сереют от солнца, разбухают от дождя, трескаются от мороза.</t>
        </is>
      </c>
    </row>
    <row r="45">
      <c r="B45" s="15" t="inlineStr">
        <is>
          <t>Объект: Забор деревянный | Площадь: 40 м² | Горизонт: 10 лет</t>
        </is>
      </c>
    </row>
    <row r="46" ht="28" customHeight="1">
      <c r="B46" s="7" t="inlineStr">
        <is>
          <t>Вариант</t>
        </is>
      </c>
      <c r="C46" s="7" t="inlineStr">
        <is>
          <t>Шаг 1</t>
        </is>
      </c>
      <c r="D46" s="7" t="inlineStr">
        <is>
          <t>Шаг 2</t>
        </is>
      </c>
      <c r="E46" s="7" t="inlineStr">
        <is>
          <t>Материал (₽/м²)</t>
        </is>
      </c>
      <c r="F46" s="7" t="inlineStr">
        <is>
          <t>Работа (₽/м²)</t>
        </is>
      </c>
      <c r="G46" s="7" t="inlineStr">
        <is>
          <t>Материал всего (₽)</t>
        </is>
      </c>
      <c r="H46" s="7" t="inlineStr">
        <is>
          <t>Работа всего (₽)</t>
        </is>
      </c>
      <c r="I46" s="7" t="inlineStr">
        <is>
          <t>Стоимость 1 цикла (₽)</t>
        </is>
      </c>
      <c r="J46" s="7" t="inlineStr">
        <is>
          <t>Перекраска (₽)</t>
        </is>
      </c>
      <c r="K46" s="7" t="inlineStr">
        <is>
          <t>Срок службы (лет)</t>
        </is>
      </c>
      <c r="L46" s="7" t="inlineStr">
        <is>
          <t>Кол-во циклов</t>
        </is>
      </c>
      <c r="M46" s="7" t="inlineStr">
        <is>
          <t>ТСО за 10 лет (₽)</t>
        </is>
      </c>
      <c r="N46" s="7" t="inlineStr">
        <is>
          <t>Экономия vs макс. (₽)</t>
        </is>
      </c>
      <c r="O46" s="7" t="inlineStr">
        <is>
          <t>Экономия vs макс. (%)</t>
        </is>
      </c>
    </row>
    <row r="47" ht="22" customHeight="1">
      <c r="B47" s="9" t="inlineStr">
        <is>
          <t>Эконом: MONLID</t>
        </is>
      </c>
      <c r="C47" s="9" t="inlineStr">
        <is>
          <t>Лак яхтный MONLID</t>
        </is>
      </c>
      <c r="D47" s="9" t="inlineStr">
        <is>
          <t>—</t>
        </is>
      </c>
      <c r="E47" s="10" t="n">
        <v>85.05</v>
      </c>
      <c r="F47" s="10" t="n">
        <v>300</v>
      </c>
      <c r="G47" s="10" t="n">
        <v>3402</v>
      </c>
      <c r="H47" s="10" t="n">
        <v>12000</v>
      </c>
      <c r="I47" s="10" t="n">
        <v>15402</v>
      </c>
      <c r="J47" s="10" t="n">
        <v>15402</v>
      </c>
      <c r="K47" s="9" t="n">
        <v>4</v>
      </c>
      <c r="L47" s="16" t="n">
        <v>3</v>
      </c>
      <c r="M47" s="17" t="n">
        <v>46206</v>
      </c>
      <c r="N47" s="16" t="n">
        <v>0</v>
      </c>
      <c r="O47" s="18" t="n">
        <v>0</v>
      </c>
    </row>
    <row r="48" ht="22" customHeight="1">
      <c r="B48" s="12" t="inlineStr">
        <is>
          <t>Средний+: Luxens</t>
        </is>
      </c>
      <c r="C48" s="12" t="inlineStr">
        <is>
          <t>Лак яхтный Luxens</t>
        </is>
      </c>
      <c r="D48" s="12" t="inlineStr">
        <is>
          <t>—</t>
        </is>
      </c>
      <c r="E48" s="13" t="n">
        <v>113.73</v>
      </c>
      <c r="F48" s="13" t="n">
        <v>300</v>
      </c>
      <c r="G48" s="13" t="n">
        <v>4549</v>
      </c>
      <c r="H48" s="13" t="n">
        <v>12000</v>
      </c>
      <c r="I48" s="13" t="n">
        <v>16549</v>
      </c>
      <c r="J48" s="13" t="n">
        <v>16549</v>
      </c>
      <c r="K48" s="12" t="n">
        <v>6</v>
      </c>
      <c r="L48" s="19" t="n">
        <v>2</v>
      </c>
      <c r="M48" s="20" t="n">
        <v>33098</v>
      </c>
      <c r="N48" s="19" t="n">
        <v>13108</v>
      </c>
      <c r="O48" s="21" t="n">
        <v>0.2836861013721162</v>
      </c>
    </row>
    <row r="51" ht="28" customHeight="1">
      <c r="B51" s="14" t="inlineStr">
        <is>
          <t>Цепочка 7. Паркет и деревянный пол внутри  [Дерево (интерьер)]  Приоритет: НИЗКИЙ</t>
        </is>
      </c>
    </row>
    <row r="52">
      <c r="B52" s="6" t="inlineStr">
        <is>
          <t>Проблема: Паркет истирается, царапается, тускнеет. Обычные лаки желтеют.</t>
        </is>
      </c>
    </row>
    <row r="53">
      <c r="B53" s="15" t="inlineStr">
        <is>
          <t>Объект: Терраса / лоджия | Площадь: 15 м² | Горизонт: 10 лет</t>
        </is>
      </c>
    </row>
    <row r="54" ht="28" customHeight="1">
      <c r="B54" s="7" t="inlineStr">
        <is>
          <t>Вариант</t>
        </is>
      </c>
      <c r="C54" s="7" t="inlineStr">
        <is>
          <t>Шаг 1</t>
        </is>
      </c>
      <c r="D54" s="7" t="inlineStr">
        <is>
          <t>Шаг 2</t>
        </is>
      </c>
      <c r="E54" s="7" t="inlineStr">
        <is>
          <t>Материал (₽/м²)</t>
        </is>
      </c>
      <c r="F54" s="7" t="inlineStr">
        <is>
          <t>Работа (₽/м²)</t>
        </is>
      </c>
      <c r="G54" s="7" t="inlineStr">
        <is>
          <t>Материал всего (₽)</t>
        </is>
      </c>
      <c r="H54" s="7" t="inlineStr">
        <is>
          <t>Работа всего (₽)</t>
        </is>
      </c>
      <c r="I54" s="7" t="inlineStr">
        <is>
          <t>Стоимость 1 цикла (₽)</t>
        </is>
      </c>
      <c r="J54" s="7" t="inlineStr">
        <is>
          <t>Перекраска (₽)</t>
        </is>
      </c>
      <c r="K54" s="7" t="inlineStr">
        <is>
          <t>Срок службы (лет)</t>
        </is>
      </c>
      <c r="L54" s="7" t="inlineStr">
        <is>
          <t>Кол-во циклов</t>
        </is>
      </c>
      <c r="M54" s="7" t="inlineStr">
        <is>
          <t>ТСО за 10 лет (₽)</t>
        </is>
      </c>
      <c r="N54" s="7" t="inlineStr">
        <is>
          <t>Экономия vs макс. (₽)</t>
        </is>
      </c>
      <c r="O54" s="7" t="inlineStr">
        <is>
          <t>Экономия vs макс. (%)</t>
        </is>
      </c>
    </row>
    <row r="55" ht="22" customHeight="1">
      <c r="B55" s="9" t="inlineStr">
        <is>
          <t>Премиум: AVANTGARDE</t>
        </is>
      </c>
      <c r="C55" s="9" t="inlineStr">
        <is>
          <t>Лак паркетный AVANTGARDE</t>
        </is>
      </c>
      <c r="D55" s="9" t="inlineStr">
        <is>
          <t>—</t>
        </is>
      </c>
      <c r="E55" s="10" t="n">
        <v>240</v>
      </c>
      <c r="F55" s="10" t="n">
        <v>350</v>
      </c>
      <c r="G55" s="10" t="n">
        <v>3600</v>
      </c>
      <c r="H55" s="10" t="n">
        <v>5250</v>
      </c>
      <c r="I55" s="10" t="n">
        <v>8850</v>
      </c>
      <c r="J55" s="10" t="n">
        <v>8850</v>
      </c>
      <c r="K55" s="9" t="n">
        <v>7</v>
      </c>
      <c r="L55" s="16" t="n">
        <v>2</v>
      </c>
      <c r="M55" s="17" t="n">
        <v>17700</v>
      </c>
      <c r="N55" s="16" t="n">
        <v>0</v>
      </c>
      <c r="O55" s="18" t="n">
        <v>0</v>
      </c>
    </row>
    <row r="58" ht="28" customHeight="1">
      <c r="B58" s="14" t="inlineStr">
        <is>
          <t>Цепочка 8. Ровный потолок без разводов  [Потолки]  Приоритет: НИЗКИЙ</t>
        </is>
      </c>
    </row>
    <row r="59">
      <c r="B59" s="6" t="inlineStr">
        <is>
          <t>Проблема: Потолочная краска ложится полосами, видны разводы от валика.</t>
        </is>
      </c>
    </row>
    <row r="60">
      <c r="B60" s="15" t="inlineStr">
        <is>
          <t>Объект: Потолок | Площадь: 20 м² | Горизонт: 10 лет</t>
        </is>
      </c>
    </row>
    <row r="61" ht="28" customHeight="1">
      <c r="B61" s="7" t="inlineStr">
        <is>
          <t>Вариант</t>
        </is>
      </c>
      <c r="C61" s="7" t="inlineStr">
        <is>
          <t>Шаг 1</t>
        </is>
      </c>
      <c r="D61" s="7" t="inlineStr">
        <is>
          <t>Шаг 2</t>
        </is>
      </c>
      <c r="E61" s="7" t="inlineStr">
        <is>
          <t>Материал (₽/м²)</t>
        </is>
      </c>
      <c r="F61" s="7" t="inlineStr">
        <is>
          <t>Работа (₽/м²)</t>
        </is>
      </c>
      <c r="G61" s="7" t="inlineStr">
        <is>
          <t>Материал всего (₽)</t>
        </is>
      </c>
      <c r="H61" s="7" t="inlineStr">
        <is>
          <t>Работа всего (₽)</t>
        </is>
      </c>
      <c r="I61" s="7" t="inlineStr">
        <is>
          <t>Стоимость 1 цикла (₽)</t>
        </is>
      </c>
      <c r="J61" s="7" t="inlineStr">
        <is>
          <t>Перекраска (₽)</t>
        </is>
      </c>
      <c r="K61" s="7" t="inlineStr">
        <is>
          <t>Срок службы (лет)</t>
        </is>
      </c>
      <c r="L61" s="7" t="inlineStr">
        <is>
          <t>Кол-во циклов</t>
        </is>
      </c>
      <c r="M61" s="7" t="inlineStr">
        <is>
          <t>ТСО за 10 лет (₽)</t>
        </is>
      </c>
      <c r="N61" s="7" t="inlineStr">
        <is>
          <t>Экономия vs макс. (₽)</t>
        </is>
      </c>
      <c r="O61" s="7" t="inlineStr">
        <is>
          <t>Экономия vs макс. (%)</t>
        </is>
      </c>
    </row>
    <row r="62" ht="22" customHeight="1">
      <c r="B62" s="9" t="inlineStr">
        <is>
          <t>Без грунта: только краска</t>
        </is>
      </c>
      <c r="C62" s="9" t="inlineStr">
        <is>
          <t>Краска ВД потолочная</t>
        </is>
      </c>
      <c r="D62" s="9" t="inlineStr">
        <is>
          <t>—</t>
        </is>
      </c>
      <c r="E62" s="10" t="n">
        <v>34.71</v>
      </c>
      <c r="F62" s="10" t="n">
        <v>220</v>
      </c>
      <c r="G62" s="10" t="n">
        <v>694</v>
      </c>
      <c r="H62" s="10" t="n">
        <v>4400</v>
      </c>
      <c r="I62" s="10" t="n">
        <v>5094</v>
      </c>
      <c r="J62" s="10" t="n">
        <v>5094</v>
      </c>
      <c r="K62" s="9" t="n">
        <v>4</v>
      </c>
      <c r="L62" s="16" t="n">
        <v>3</v>
      </c>
      <c r="M62" s="17" t="n">
        <v>15283</v>
      </c>
      <c r="N62" s="16" t="n">
        <v>0</v>
      </c>
      <c r="O62" s="18" t="n">
        <v>0</v>
      </c>
    </row>
    <row r="63" ht="22" customHeight="1">
      <c r="B63" s="12" t="inlineStr">
        <is>
          <t>Рекомендовано: грунт + краска</t>
        </is>
      </c>
      <c r="C63" s="12" t="inlineStr">
        <is>
          <t>Грунтовка ВД</t>
        </is>
      </c>
      <c r="D63" s="12" t="inlineStr">
        <is>
          <t>Краска ВД потолочная</t>
        </is>
      </c>
      <c r="E63" s="13" t="n">
        <v>26.24</v>
      </c>
      <c r="F63" s="13" t="n">
        <v>400</v>
      </c>
      <c r="G63" s="13" t="n">
        <v>525</v>
      </c>
      <c r="H63" s="13" t="n">
        <v>8000</v>
      </c>
      <c r="I63" s="13" t="n">
        <v>8525</v>
      </c>
      <c r="J63" s="13" t="n">
        <v>5943</v>
      </c>
      <c r="K63" s="12" t="n">
        <v>7</v>
      </c>
      <c r="L63" s="19" t="n">
        <v>2</v>
      </c>
      <c r="M63" s="20" t="n">
        <v>14468</v>
      </c>
      <c r="N63" s="19" t="n">
        <v>815</v>
      </c>
      <c r="O63" s="21" t="n">
        <v>0.05332722632990905</v>
      </c>
    </row>
    <row r="66" ht="28" customHeight="1">
      <c r="B66" s="14" t="inlineStr">
        <is>
          <t>Цепочка 9. Стены, которые можно мыть  [Интерьер]  Приоритет: НИЗКИЙ</t>
        </is>
      </c>
    </row>
    <row r="67">
      <c r="B67" s="6" t="inlineStr">
        <is>
          <t>Проблема: Стены пачкаются, а обычная краска размокает при мытье.</t>
        </is>
      </c>
    </row>
    <row r="68">
      <c r="B68" s="15" t="inlineStr">
        <is>
          <t>Объект: Стены (коридор/кухня) | Площадь: 50 м² | Горизонт: 10 лет</t>
        </is>
      </c>
    </row>
    <row r="69" ht="28" customHeight="1">
      <c r="B69" s="7" t="inlineStr">
        <is>
          <t>Вариант</t>
        </is>
      </c>
      <c r="C69" s="7" t="inlineStr">
        <is>
          <t>Шаг 1</t>
        </is>
      </c>
      <c r="D69" s="7" t="inlineStr">
        <is>
          <t>Шаг 2</t>
        </is>
      </c>
      <c r="E69" s="7" t="inlineStr">
        <is>
          <t>Материал (₽/м²)</t>
        </is>
      </c>
      <c r="F69" s="7" t="inlineStr">
        <is>
          <t>Работа (₽/м²)</t>
        </is>
      </c>
      <c r="G69" s="7" t="inlineStr">
        <is>
          <t>Материал всего (₽)</t>
        </is>
      </c>
      <c r="H69" s="7" t="inlineStr">
        <is>
          <t>Работа всего (₽)</t>
        </is>
      </c>
      <c r="I69" s="7" t="inlineStr">
        <is>
          <t>Стоимость 1 цикла (₽)</t>
        </is>
      </c>
      <c r="J69" s="7" t="inlineStr">
        <is>
          <t>Перекраска (₽)</t>
        </is>
      </c>
      <c r="K69" s="7" t="inlineStr">
        <is>
          <t>Срок службы (лет)</t>
        </is>
      </c>
      <c r="L69" s="7" t="inlineStr">
        <is>
          <t>Кол-во циклов</t>
        </is>
      </c>
      <c r="M69" s="7" t="inlineStr">
        <is>
          <t>ТСО за 10 лет (₽)</t>
        </is>
      </c>
      <c r="N69" s="7" t="inlineStr">
        <is>
          <t>Экономия vs макс. (₽)</t>
        </is>
      </c>
      <c r="O69" s="7" t="inlineStr">
        <is>
          <t>Экономия vs макс. (%)</t>
        </is>
      </c>
    </row>
    <row r="70" ht="22" customHeight="1">
      <c r="B70" s="9" t="inlineStr">
        <is>
          <t>Без грунта: только краска</t>
        </is>
      </c>
      <c r="C70" s="9" t="inlineStr">
        <is>
          <t>Краска ВД моющаяся</t>
        </is>
      </c>
      <c r="D70" s="9" t="inlineStr">
        <is>
          <t>—</t>
        </is>
      </c>
      <c r="E70" s="10" t="n">
        <v>61.92</v>
      </c>
      <c r="F70" s="10" t="n">
        <v>220</v>
      </c>
      <c r="G70" s="10" t="n">
        <v>3096</v>
      </c>
      <c r="H70" s="10" t="n">
        <v>11000</v>
      </c>
      <c r="I70" s="10" t="n">
        <v>14096</v>
      </c>
      <c r="J70" s="10" t="n">
        <v>14096</v>
      </c>
      <c r="K70" s="9" t="n">
        <v>4</v>
      </c>
      <c r="L70" s="16" t="n">
        <v>3</v>
      </c>
      <c r="M70" s="17" t="n">
        <v>42288</v>
      </c>
      <c r="N70" s="16" t="n">
        <v>0</v>
      </c>
      <c r="O70" s="18" t="n">
        <v>0</v>
      </c>
    </row>
    <row r="71" ht="22" customHeight="1">
      <c r="B71" s="12" t="inlineStr">
        <is>
          <t>Рекомендовано: грунт + краска</t>
        </is>
      </c>
      <c r="C71" s="12" t="inlineStr">
        <is>
          <t>Грунтовка ВД</t>
        </is>
      </c>
      <c r="D71" s="12" t="inlineStr">
        <is>
          <t>Краска ВД моющаяся</t>
        </is>
      </c>
      <c r="E71" s="13" t="n">
        <v>44.38</v>
      </c>
      <c r="F71" s="13" t="n">
        <v>400</v>
      </c>
      <c r="G71" s="13" t="n">
        <v>2219</v>
      </c>
      <c r="H71" s="13" t="n">
        <v>20000</v>
      </c>
      <c r="I71" s="13" t="n">
        <v>22219</v>
      </c>
      <c r="J71" s="13" t="n">
        <v>15764</v>
      </c>
      <c r="K71" s="12" t="n">
        <v>7</v>
      </c>
      <c r="L71" s="19" t="n">
        <v>2</v>
      </c>
      <c r="M71" s="20" t="n">
        <v>37983</v>
      </c>
      <c r="N71" s="19" t="n">
        <v>4305</v>
      </c>
      <c r="O71" s="21" t="n">
        <v>0.1018019296254257</v>
      </c>
    </row>
    <row r="74" ht="28" customHeight="1">
      <c r="B74" s="14" t="inlineStr">
        <is>
          <t>Цепочка 10. Покраска фасада дома  [Фасад]  Приоритет: НИЗКИЙ</t>
        </is>
      </c>
    </row>
    <row r="75">
      <c r="B75" s="6" t="inlineStr">
        <is>
          <t>Проблема: Фасад потрескался, выцвел, нужно обновить защиту и цвет.</t>
        </is>
      </c>
    </row>
    <row r="76">
      <c r="B76" s="15" t="inlineStr">
        <is>
          <t>Объект: Фасад дома | Площадь: 100 м² | Горизонт: 10 лет</t>
        </is>
      </c>
    </row>
    <row r="77" ht="28" customHeight="1">
      <c r="B77" s="7" t="inlineStr">
        <is>
          <t>Вариант</t>
        </is>
      </c>
      <c r="C77" s="7" t="inlineStr">
        <is>
          <t>Шаг 1</t>
        </is>
      </c>
      <c r="D77" s="7" t="inlineStr">
        <is>
          <t>Шаг 2</t>
        </is>
      </c>
      <c r="E77" s="7" t="inlineStr">
        <is>
          <t>Материал (₽/м²)</t>
        </is>
      </c>
      <c r="F77" s="7" t="inlineStr">
        <is>
          <t>Работа (₽/м²)</t>
        </is>
      </c>
      <c r="G77" s="7" t="inlineStr">
        <is>
          <t>Материал всего (₽)</t>
        </is>
      </c>
      <c r="H77" s="7" t="inlineStr">
        <is>
          <t>Работа всего (₽)</t>
        </is>
      </c>
      <c r="I77" s="7" t="inlineStr">
        <is>
          <t>Стоимость 1 цикла (₽)</t>
        </is>
      </c>
      <c r="J77" s="7" t="inlineStr">
        <is>
          <t>Перекраска (₽)</t>
        </is>
      </c>
      <c r="K77" s="7" t="inlineStr">
        <is>
          <t>Срок службы (лет)</t>
        </is>
      </c>
      <c r="L77" s="7" t="inlineStr">
        <is>
          <t>Кол-во циклов</t>
        </is>
      </c>
      <c r="M77" s="7" t="inlineStr">
        <is>
          <t>ТСО за 10 лет (₽)</t>
        </is>
      </c>
      <c r="N77" s="7" t="inlineStr">
        <is>
          <t>Экономия vs макс. (₽)</t>
        </is>
      </c>
      <c r="O77" s="7" t="inlineStr">
        <is>
          <t>Экономия vs макс. (%)</t>
        </is>
      </c>
    </row>
    <row r="78" ht="22" customHeight="1">
      <c r="B78" s="9" t="inlineStr">
        <is>
          <t>Без грунта: только краска</t>
        </is>
      </c>
      <c r="C78" s="9" t="inlineStr">
        <is>
          <t>Краска ВД фасадная</t>
        </is>
      </c>
      <c r="D78" s="9" t="inlineStr">
        <is>
          <t>—</t>
        </is>
      </c>
      <c r="E78" s="10" t="n">
        <v>80.34</v>
      </c>
      <c r="F78" s="10" t="n">
        <v>220</v>
      </c>
      <c r="G78" s="10" t="n">
        <v>8034</v>
      </c>
      <c r="H78" s="10" t="n">
        <v>22000</v>
      </c>
      <c r="I78" s="10" t="n">
        <v>30034</v>
      </c>
      <c r="J78" s="10" t="n">
        <v>30034</v>
      </c>
      <c r="K78" s="9" t="n">
        <v>4</v>
      </c>
      <c r="L78" s="16" t="n">
        <v>3</v>
      </c>
      <c r="M78" s="17" t="n">
        <v>90102</v>
      </c>
      <c r="N78" s="16" t="n">
        <v>0</v>
      </c>
      <c r="O78" s="18" t="n">
        <v>0</v>
      </c>
    </row>
    <row r="79" ht="22" customHeight="1">
      <c r="B79" s="12" t="inlineStr">
        <is>
          <t>Рекомендовано: грунт + краска</t>
        </is>
      </c>
      <c r="C79" s="12" t="inlineStr">
        <is>
          <t>Грунтовка ВД</t>
        </is>
      </c>
      <c r="D79" s="12" t="inlineStr">
        <is>
          <t>Краска ВД фасадная</t>
        </is>
      </c>
      <c r="E79" s="13" t="n">
        <v>56.66</v>
      </c>
      <c r="F79" s="13" t="n">
        <v>400</v>
      </c>
      <c r="G79" s="13" t="n">
        <v>5666</v>
      </c>
      <c r="H79" s="13" t="n">
        <v>40000</v>
      </c>
      <c r="I79" s="13" t="n">
        <v>45666</v>
      </c>
      <c r="J79" s="13" t="n">
        <v>32756</v>
      </c>
      <c r="K79" s="12" t="n">
        <v>6</v>
      </c>
      <c r="L79" s="19" t="n">
        <v>2</v>
      </c>
      <c r="M79" s="20" t="n">
        <v>78422</v>
      </c>
      <c r="N79" s="19" t="n">
        <v>11680</v>
      </c>
      <c r="O79" s="21" t="n">
        <v>0.1296308627999379</v>
      </c>
    </row>
    <row r="82" ht="28" customHeight="1">
      <c r="B82" s="14" t="inlineStr">
        <is>
          <t>Цепочка 11. Декоративная стена с текстурой  [Интерьер / Декор]  Приоритет: НИЗКИЙ</t>
        </is>
      </c>
    </row>
    <row r="83">
      <c r="B83" s="6" t="inlineStr">
        <is>
          <t>Проблема: Гладкая краска выглядит скучно, хочется рельеф и фактуру.</t>
        </is>
      </c>
    </row>
    <row r="84">
      <c r="B84" s="15" t="inlineStr">
        <is>
          <t>Объект: Стена декоративная | Площадь: 20 м² | Горизонт: 10 лет</t>
        </is>
      </c>
    </row>
    <row r="85" ht="28" customHeight="1">
      <c r="B85" s="7" t="inlineStr">
        <is>
          <t>Вариант</t>
        </is>
      </c>
      <c r="C85" s="7" t="inlineStr">
        <is>
          <t>Шаг 1</t>
        </is>
      </c>
      <c r="D85" s="7" t="inlineStr">
        <is>
          <t>Шаг 2</t>
        </is>
      </c>
      <c r="E85" s="7" t="inlineStr">
        <is>
          <t>Материал (₽/м²)</t>
        </is>
      </c>
      <c r="F85" s="7" t="inlineStr">
        <is>
          <t>Работа (₽/м²)</t>
        </is>
      </c>
      <c r="G85" s="7" t="inlineStr">
        <is>
          <t>Материал всего (₽)</t>
        </is>
      </c>
      <c r="H85" s="7" t="inlineStr">
        <is>
          <t>Работа всего (₽)</t>
        </is>
      </c>
      <c r="I85" s="7" t="inlineStr">
        <is>
          <t>Стоимость 1 цикла (₽)</t>
        </is>
      </c>
      <c r="J85" s="7" t="inlineStr">
        <is>
          <t>Перекраска (₽)</t>
        </is>
      </c>
      <c r="K85" s="7" t="inlineStr">
        <is>
          <t>Срок службы (лет)</t>
        </is>
      </c>
      <c r="L85" s="7" t="inlineStr">
        <is>
          <t>Кол-во циклов</t>
        </is>
      </c>
      <c r="M85" s="7" t="inlineStr">
        <is>
          <t>ТСО за 10 лет (₽)</t>
        </is>
      </c>
      <c r="N85" s="7" t="inlineStr">
        <is>
          <t>Экономия vs макс. (₽)</t>
        </is>
      </c>
      <c r="O85" s="7" t="inlineStr">
        <is>
          <t>Экономия vs макс. (%)</t>
        </is>
      </c>
    </row>
    <row r="86" ht="22" customHeight="1">
      <c r="B86" s="9" t="inlineStr">
        <is>
          <t>Грунт + фактурная краска</t>
        </is>
      </c>
      <c r="C86" s="9" t="inlineStr">
        <is>
          <t>Грунтовка ВД</t>
        </is>
      </c>
      <c r="D86" s="9" t="inlineStr">
        <is>
          <t>Краска фактурная</t>
        </is>
      </c>
      <c r="E86" s="10" t="n">
        <v>115.9</v>
      </c>
      <c r="F86" s="10" t="n">
        <v>630</v>
      </c>
      <c r="G86" s="10" t="n">
        <v>2318</v>
      </c>
      <c r="H86" s="10" t="n">
        <v>12600</v>
      </c>
      <c r="I86" s="10" t="n">
        <v>14918</v>
      </c>
      <c r="J86" s="10" t="n">
        <v>12336</v>
      </c>
      <c r="K86" s="9" t="n">
        <v>7</v>
      </c>
      <c r="L86" s="16" t="n">
        <v>2</v>
      </c>
      <c r="M86" s="17" t="n">
        <v>27254</v>
      </c>
      <c r="N86" s="16" t="n">
        <v>0</v>
      </c>
      <c r="O86" s="18" t="n">
        <v>0</v>
      </c>
    </row>
    <row r="89" ht="28" customHeight="1">
      <c r="B89" s="14" t="inlineStr">
        <is>
          <t>Цепочка 12. Покраска батарей без запаха  [Радиаторы]  Приоритет: СРЕДНИЙ</t>
        </is>
      </c>
    </row>
    <row r="90">
      <c r="B90" s="6" t="inlineStr">
        <is>
          <t>Проблема: Ржавые батареи, нужна краска, которая не желтеет от нагрева.</t>
        </is>
      </c>
    </row>
    <row r="91">
      <c r="B91" s="15" t="inlineStr">
        <is>
          <t>Объект: Батареи (радиаторы) | Площадь: 6 м² | Горизонт: 10 лет</t>
        </is>
      </c>
    </row>
    <row r="92" ht="28" customHeight="1">
      <c r="B92" s="7" t="inlineStr">
        <is>
          <t>Вариант</t>
        </is>
      </c>
      <c r="C92" s="7" t="inlineStr">
        <is>
          <t>Шаг 1</t>
        </is>
      </c>
      <c r="D92" s="7" t="inlineStr">
        <is>
          <t>Шаг 2</t>
        </is>
      </c>
      <c r="E92" s="7" t="inlineStr">
        <is>
          <t>Материал (₽/м²)</t>
        </is>
      </c>
      <c r="F92" s="7" t="inlineStr">
        <is>
          <t>Работа (₽/м²)</t>
        </is>
      </c>
      <c r="G92" s="7" t="inlineStr">
        <is>
          <t>Материал всего (₽)</t>
        </is>
      </c>
      <c r="H92" s="7" t="inlineStr">
        <is>
          <t>Работа всего (₽)</t>
        </is>
      </c>
      <c r="I92" s="7" t="inlineStr">
        <is>
          <t>Стоимость 1 цикла (₽)</t>
        </is>
      </c>
      <c r="J92" s="7" t="inlineStr">
        <is>
          <t>Перекраска (₽)</t>
        </is>
      </c>
      <c r="K92" s="7" t="inlineStr">
        <is>
          <t>Срок службы (лет)</t>
        </is>
      </c>
      <c r="L92" s="7" t="inlineStr">
        <is>
          <t>Кол-во циклов</t>
        </is>
      </c>
      <c r="M92" s="7" t="inlineStr">
        <is>
          <t>ТСО за 10 лет (₽)</t>
        </is>
      </c>
      <c r="N92" s="7" t="inlineStr">
        <is>
          <t>Экономия vs макс. (₽)</t>
        </is>
      </c>
      <c r="O92" s="7" t="inlineStr">
        <is>
          <t>Экономия vs макс. (%)</t>
        </is>
      </c>
    </row>
    <row r="93" ht="22" customHeight="1">
      <c r="B93" s="9" t="inlineStr">
        <is>
          <t>Без грунта: только эмаль</t>
        </is>
      </c>
      <c r="C93" s="9" t="inlineStr">
        <is>
          <t>Эмаль для радиаторов</t>
        </is>
      </c>
      <c r="D93" s="9" t="inlineStr">
        <is>
          <t>—</t>
        </is>
      </c>
      <c r="E93" s="10" t="n">
        <v>57.8</v>
      </c>
      <c r="F93" s="10" t="n">
        <v>400</v>
      </c>
      <c r="G93" s="10" t="n">
        <v>347</v>
      </c>
      <c r="H93" s="10" t="n">
        <v>2400</v>
      </c>
      <c r="I93" s="10" t="n">
        <v>2747</v>
      </c>
      <c r="J93" s="10" t="n">
        <v>2747</v>
      </c>
      <c r="K93" s="9" t="n">
        <v>4</v>
      </c>
      <c r="L93" s="16" t="n">
        <v>3</v>
      </c>
      <c r="M93" s="17" t="n">
        <v>8240</v>
      </c>
      <c r="N93" s="16" t="n">
        <v>0</v>
      </c>
      <c r="O93" s="18" t="n">
        <v>0</v>
      </c>
    </row>
    <row r="94" ht="22" customHeight="1">
      <c r="B94" s="12" t="inlineStr">
        <is>
          <t>Рекомендовано: ГФ-021 + эмаль</t>
        </is>
      </c>
      <c r="C94" s="12" t="inlineStr">
        <is>
          <t>Грунтовка ГФ-021</t>
        </is>
      </c>
      <c r="D94" s="12" t="inlineStr">
        <is>
          <t>Эмаль для радиаторов</t>
        </is>
      </c>
      <c r="E94" s="13" t="n">
        <v>66.48</v>
      </c>
      <c r="F94" s="13" t="n">
        <v>650</v>
      </c>
      <c r="G94" s="13" t="n">
        <v>399</v>
      </c>
      <c r="H94" s="13" t="n">
        <v>3900</v>
      </c>
      <c r="I94" s="13" t="n">
        <v>4299</v>
      </c>
      <c r="J94" s="13" t="n">
        <v>3197</v>
      </c>
      <c r="K94" s="12" t="n">
        <v>7</v>
      </c>
      <c r="L94" s="19" t="n">
        <v>2</v>
      </c>
      <c r="M94" s="20" t="n">
        <v>7496</v>
      </c>
      <c r="N94" s="19" t="n">
        <v>744</v>
      </c>
      <c r="O94" s="21" t="n">
        <v>0.09029126213592233</v>
      </c>
    </row>
    <row r="97" ht="28" customHeight="1">
      <c r="B97" s="14" t="inlineStr">
        <is>
          <t>Цепочка 13. Усиленная защита ржавого металла  [Металл (тяжёлые условия)]  Приоритет: ВЫСОКИЙ</t>
        </is>
      </c>
    </row>
    <row r="98">
      <c r="B98" s="6" t="inlineStr">
        <is>
          <t>Проблема: Металл сильно проржавел — 3в1 не справится, нужна максимальная защита.</t>
        </is>
      </c>
    </row>
    <row r="99">
      <c r="B99" s="15" t="inlineStr">
        <is>
          <t>Объект: Гараж металлический | Площадь: 54 м² | Горизонт: 10 лет</t>
        </is>
      </c>
    </row>
    <row r="100" ht="28" customHeight="1">
      <c r="B100" s="7" t="inlineStr">
        <is>
          <t>Вариант</t>
        </is>
      </c>
      <c r="C100" s="7" t="inlineStr">
        <is>
          <t>Шаг 1</t>
        </is>
      </c>
      <c r="D100" s="7" t="inlineStr">
        <is>
          <t>Шаг 2</t>
        </is>
      </c>
      <c r="E100" s="7" t="inlineStr">
        <is>
          <t>Материал (₽/м²)</t>
        </is>
      </c>
      <c r="F100" s="7" t="inlineStr">
        <is>
          <t>Работа (₽/м²)</t>
        </is>
      </c>
      <c r="G100" s="7" t="inlineStr">
        <is>
          <t>Материал всего (₽)</t>
        </is>
      </c>
      <c r="H100" s="7" t="inlineStr">
        <is>
          <t>Работа всего (₽)</t>
        </is>
      </c>
      <c r="I100" s="7" t="inlineStr">
        <is>
          <t>Стоимость 1 цикла (₽)</t>
        </is>
      </c>
      <c r="J100" s="7" t="inlineStr">
        <is>
          <t>Перекраска (₽)</t>
        </is>
      </c>
      <c r="K100" s="7" t="inlineStr">
        <is>
          <t>Срок службы (лет)</t>
        </is>
      </c>
      <c r="L100" s="7" t="inlineStr">
        <is>
          <t>Кол-во циклов</t>
        </is>
      </c>
      <c r="M100" s="7" t="inlineStr">
        <is>
          <t>ТСО за 10 лет (₽)</t>
        </is>
      </c>
      <c r="N100" s="7" t="inlineStr">
        <is>
          <t>Экономия vs макс. (₽)</t>
        </is>
      </c>
      <c r="O100" s="7" t="inlineStr">
        <is>
          <t>Экономия vs макс. (%)</t>
        </is>
      </c>
    </row>
    <row r="101" ht="22" customHeight="1">
      <c r="B101" s="9" t="inlineStr">
        <is>
          <t>Только 3в1</t>
        </is>
      </c>
      <c r="C101" s="9" t="inlineStr">
        <is>
          <t>Грунт-эмаль 3в1 ОРЕОЛ</t>
        </is>
      </c>
      <c r="D101" s="9" t="inlineStr">
        <is>
          <t>—</t>
        </is>
      </c>
      <c r="E101" s="10" t="n">
        <v>43</v>
      </c>
      <c r="F101" s="10" t="n">
        <v>300</v>
      </c>
      <c r="G101" s="10" t="n">
        <v>2322</v>
      </c>
      <c r="H101" s="10" t="n">
        <v>16200</v>
      </c>
      <c r="I101" s="10" t="n">
        <v>18522</v>
      </c>
      <c r="J101" s="10" t="n">
        <v>18522</v>
      </c>
      <c r="K101" s="9" t="n">
        <v>4</v>
      </c>
      <c r="L101" s="16" t="n">
        <v>3</v>
      </c>
      <c r="M101" s="17" t="n">
        <v>55566</v>
      </c>
      <c r="N101" s="16" t="n">
        <v>0</v>
      </c>
      <c r="O101" s="18" t="n">
        <v>0</v>
      </c>
    </row>
    <row r="102" ht="22" customHeight="1">
      <c r="B102" s="12" t="inlineStr">
        <is>
          <t>ГФ-021 + 3в1 (двойная защита)</t>
        </is>
      </c>
      <c r="C102" s="12" t="inlineStr">
        <is>
          <t>Грунтовка ГФ-021</t>
        </is>
      </c>
      <c r="D102" s="12" t="inlineStr">
        <is>
          <t>Грунт-эмаль 3в1 ОРЕОЛ</t>
        </is>
      </c>
      <c r="E102" s="13" t="n">
        <v>51.68</v>
      </c>
      <c r="F102" s="13" t="n">
        <v>550</v>
      </c>
      <c r="G102" s="13" t="n">
        <v>2791</v>
      </c>
      <c r="H102" s="13" t="n">
        <v>29700</v>
      </c>
      <c r="I102" s="13" t="n">
        <v>32491</v>
      </c>
      <c r="J102" s="13" t="n">
        <v>22572</v>
      </c>
      <c r="K102" s="12" t="n">
        <v>10</v>
      </c>
      <c r="L102" s="19" t="n">
        <v>1</v>
      </c>
      <c r="M102" s="20" t="n">
        <v>32491</v>
      </c>
      <c r="N102" s="19" t="n">
        <v>23075</v>
      </c>
      <c r="O102" s="21" t="n">
        <v>0.4152719288773711</v>
      </c>
    </row>
    <row r="103" ht="22" customHeight="1">
      <c r="B103" s="9" t="inlineStr">
        <is>
          <t>ГФ-021 + TITAN (максимум)</t>
        </is>
      </c>
      <c r="C103" s="9" t="inlineStr">
        <is>
          <t>Грунтовка ГФ-021</t>
        </is>
      </c>
      <c r="D103" s="9" t="inlineStr">
        <is>
          <t>Грунт-эмаль TITAN</t>
        </is>
      </c>
      <c r="E103" s="10" t="n">
        <v>118.48</v>
      </c>
      <c r="F103" s="10" t="n">
        <v>550</v>
      </c>
      <c r="G103" s="10" t="n">
        <v>6398</v>
      </c>
      <c r="H103" s="10" t="n">
        <v>29700</v>
      </c>
      <c r="I103" s="10" t="n">
        <v>36098</v>
      </c>
      <c r="J103" s="10" t="n">
        <v>26179</v>
      </c>
      <c r="K103" s="9" t="n">
        <v>12</v>
      </c>
      <c r="L103" s="16" t="n">
        <v>1</v>
      </c>
      <c r="M103" s="17" t="n">
        <v>36098</v>
      </c>
      <c r="N103" s="16" t="n">
        <v>19468</v>
      </c>
      <c r="O103" s="18" t="n">
        <v>0.3503581326710579</v>
      </c>
    </row>
    <row r="106" ht="28" customHeight="1">
      <c r="B106" s="14" t="inlineStr">
        <is>
          <t>Цепочка 14. Металлический пол / настил  [Металл + Полы]  Приоритет: ВЫСОКИЙ</t>
        </is>
      </c>
    </row>
    <row r="107">
      <c r="B107" s="6" t="inlineStr">
        <is>
          <t>Проблема: Металлический настил/ступени ржавеют и скользят.</t>
        </is>
      </c>
    </row>
    <row r="108">
      <c r="B108" s="15" t="inlineStr">
        <is>
          <t>Объект: Настил металлический | Площадь: 25 м² | Горизонт: 10 лет</t>
        </is>
      </c>
    </row>
    <row r="109" ht="28" customHeight="1">
      <c r="B109" s="7" t="inlineStr">
        <is>
          <t>Вариант</t>
        </is>
      </c>
      <c r="C109" s="7" t="inlineStr">
        <is>
          <t>Шаг 1</t>
        </is>
      </c>
      <c r="D109" s="7" t="inlineStr">
        <is>
          <t>Шаг 2</t>
        </is>
      </c>
      <c r="E109" s="7" t="inlineStr">
        <is>
          <t>Материал (₽/м²)</t>
        </is>
      </c>
      <c r="F109" s="7" t="inlineStr">
        <is>
          <t>Работа (₽/м²)</t>
        </is>
      </c>
      <c r="G109" s="7" t="inlineStr">
        <is>
          <t>Материал всего (₽)</t>
        </is>
      </c>
      <c r="H109" s="7" t="inlineStr">
        <is>
          <t>Работа всего (₽)</t>
        </is>
      </c>
      <c r="I109" s="7" t="inlineStr">
        <is>
          <t>Стоимость 1 цикла (₽)</t>
        </is>
      </c>
      <c r="J109" s="7" t="inlineStr">
        <is>
          <t>Перекраска (₽)</t>
        </is>
      </c>
      <c r="K109" s="7" t="inlineStr">
        <is>
          <t>Срок службы (лет)</t>
        </is>
      </c>
      <c r="L109" s="7" t="inlineStr">
        <is>
          <t>Кол-во циклов</t>
        </is>
      </c>
      <c r="M109" s="7" t="inlineStr">
        <is>
          <t>ТСО за 10 лет (₽)</t>
        </is>
      </c>
      <c r="N109" s="7" t="inlineStr">
        <is>
          <t>Экономия vs макс. (₽)</t>
        </is>
      </c>
      <c r="O109" s="7" t="inlineStr">
        <is>
          <t>Экономия vs макс. (%)</t>
        </is>
      </c>
    </row>
    <row r="110" ht="22" customHeight="1">
      <c r="B110" s="9" t="inlineStr">
        <is>
          <t>Только Расцвет (без антикоррозийной)</t>
        </is>
      </c>
      <c r="C110" s="9" t="inlineStr">
        <is>
          <t>Эмаль Расцвет для пола</t>
        </is>
      </c>
      <c r="D110" s="9" t="inlineStr">
        <is>
          <t>—</t>
        </is>
      </c>
      <c r="E110" s="10" t="n">
        <v>40.32</v>
      </c>
      <c r="F110" s="10" t="n">
        <v>280</v>
      </c>
      <c r="G110" s="10" t="n">
        <v>1008</v>
      </c>
      <c r="H110" s="10" t="n">
        <v>7000</v>
      </c>
      <c r="I110" s="10" t="n">
        <v>8008</v>
      </c>
      <c r="J110" s="10" t="n">
        <v>8008</v>
      </c>
      <c r="K110" s="9" t="n">
        <v>3</v>
      </c>
      <c r="L110" s="16" t="n">
        <v>4</v>
      </c>
      <c r="M110" s="17" t="n">
        <v>32032</v>
      </c>
      <c r="N110" s="16" t="n">
        <v>0</v>
      </c>
      <c r="O110" s="18" t="n">
        <v>0</v>
      </c>
    </row>
    <row r="111" ht="22" customHeight="1">
      <c r="B111" s="12" t="inlineStr">
        <is>
          <t>Рекомендовано: ГФ-021 + Расцвет</t>
        </is>
      </c>
      <c r="C111" s="12" t="inlineStr">
        <is>
          <t>Грунтовка ГФ-021</t>
        </is>
      </c>
      <c r="D111" s="12" t="inlineStr">
        <is>
          <t>Эмаль Расцвет для пола</t>
        </is>
      </c>
      <c r="E111" s="13" t="n">
        <v>49</v>
      </c>
      <c r="F111" s="13" t="n">
        <v>530</v>
      </c>
      <c r="G111" s="13" t="n">
        <v>1225</v>
      </c>
      <c r="H111" s="13" t="n">
        <v>13250</v>
      </c>
      <c r="I111" s="13" t="n">
        <v>14475</v>
      </c>
      <c r="J111" s="13" t="n">
        <v>9883</v>
      </c>
      <c r="K111" s="12" t="n">
        <v>7</v>
      </c>
      <c r="L111" s="19" t="n">
        <v>2</v>
      </c>
      <c r="M111" s="20" t="n">
        <v>24358</v>
      </c>
      <c r="N111" s="19" t="n">
        <v>7674</v>
      </c>
      <c r="O111" s="21" t="n">
        <v>0.2395729270729271</v>
      </c>
    </row>
  </sheetData>
  <mergeCells count="43">
    <mergeCell ref="B35:O35"/>
    <mergeCell ref="B4:O4"/>
    <mergeCell ref="B106:O106"/>
    <mergeCell ref="B75:O75"/>
    <mergeCell ref="B91:O91"/>
    <mergeCell ref="B97:O97"/>
    <mergeCell ref="B90:O90"/>
    <mergeCell ref="B59:O59"/>
    <mergeCell ref="B22:O22"/>
    <mergeCell ref="B66:O66"/>
    <mergeCell ref="B89:O89"/>
    <mergeCell ref="B58:O58"/>
    <mergeCell ref="B21:O21"/>
    <mergeCell ref="B43:O43"/>
    <mergeCell ref="B12:O12"/>
    <mergeCell ref="B52:O52"/>
    <mergeCell ref="B2:O2"/>
    <mergeCell ref="B60:O60"/>
    <mergeCell ref="B67:O67"/>
    <mergeCell ref="B98:O98"/>
    <mergeCell ref="B23:O23"/>
    <mergeCell ref="B107:O107"/>
    <mergeCell ref="B14:O14"/>
    <mergeCell ref="B13:O13"/>
    <mergeCell ref="B44:O44"/>
    <mergeCell ref="B53:O53"/>
    <mergeCell ref="B82:O82"/>
    <mergeCell ref="B29:O29"/>
    <mergeCell ref="B37:O37"/>
    <mergeCell ref="B108:O108"/>
    <mergeCell ref="B28:O28"/>
    <mergeCell ref="B99:O99"/>
    <mergeCell ref="B84:O84"/>
    <mergeCell ref="B74:O74"/>
    <mergeCell ref="B83:O83"/>
    <mergeCell ref="B6:O6"/>
    <mergeCell ref="B30:O30"/>
    <mergeCell ref="B68:O68"/>
    <mergeCell ref="B5:O5"/>
    <mergeCell ref="B51:O51"/>
    <mergeCell ref="B76:O76"/>
    <mergeCell ref="B45:O45"/>
    <mergeCell ref="B36:O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14" customWidth="1" min="4" max="4"/>
    <col width="14" customWidth="1" min="5" max="5"/>
    <col width="28" customWidth="1" min="6" max="6"/>
    <col width="20" customWidth="1" min="7" max="7"/>
    <col width="28" customWidth="1" min="8" max="8"/>
    <col width="20" customWidth="1" min="9" max="9"/>
    <col width="16" customWidth="1" min="10" max="10"/>
    <col width="14" customWidth="1" min="11" max="11"/>
  </cols>
  <sheetData>
    <row r="1" ht="15" customHeight="1"/>
    <row r="2" ht="32" customHeight="1">
      <c r="B2" s="1" t="inlineStr">
        <is>
          <t>СВОДНОЕ СРАВНЕНИЕ ТСО — ВСЕ ЦЕПОЧКИ</t>
        </is>
      </c>
    </row>
    <row r="3" ht="8" customHeight="1"/>
    <row r="4" ht="28" customHeight="1">
      <c r="B4" s="7" t="inlineStr">
        <is>
          <t>№</t>
        </is>
      </c>
      <c r="C4" s="7" t="inlineStr">
        <is>
          <t>Цепочка</t>
        </is>
      </c>
      <c r="D4" s="7" t="inlineStr">
        <is>
          <t>Сегмент</t>
        </is>
      </c>
      <c r="E4" s="7" t="inlineStr">
        <is>
          <t>Приоритет</t>
        </is>
      </c>
      <c r="F4" s="7" t="inlineStr">
        <is>
          <t>Дорогой вариант</t>
        </is>
      </c>
      <c r="G4" s="7" t="inlineStr">
        <is>
          <t>ТСО дорогого (₽)</t>
        </is>
      </c>
      <c r="H4" s="7" t="inlineStr">
        <is>
          <t>Выгодный вариант</t>
        </is>
      </c>
      <c r="I4" s="7" t="inlineStr">
        <is>
          <t>ТСО выгодного (₽)</t>
        </is>
      </c>
      <c r="J4" s="7" t="inlineStr">
        <is>
          <t>Экономия (₽)</t>
        </is>
      </c>
      <c r="K4" s="7" t="inlineStr">
        <is>
          <t>Экономия (%)</t>
        </is>
      </c>
    </row>
    <row r="5" ht="22" customHeight="1">
      <c r="B5" s="8" t="n">
        <v>1</v>
      </c>
      <c r="C5" s="9" t="inlineStr">
        <is>
          <t>Защита металла: грунт + эмаль</t>
        </is>
      </c>
      <c r="D5" s="9" t="inlineStr">
        <is>
          <t>Металл</t>
        </is>
      </c>
      <c r="E5" s="9" t="inlineStr">
        <is>
          <t>ВЫСОКИЙ</t>
        </is>
      </c>
      <c r="F5" s="9" t="inlineStr">
        <is>
          <t>Эконом: ГФ-021 + ПФ-115 ПростоКРАСКА</t>
        </is>
      </c>
      <c r="G5" s="16" t="n">
        <v>28321</v>
      </c>
      <c r="H5" s="9" t="inlineStr">
        <is>
          <t>Средний: ГФ-021 + ПФ-115 ОРЕОЛ Premium</t>
        </is>
      </c>
      <c r="I5" s="16" t="n">
        <v>16636</v>
      </c>
      <c r="J5" s="16" t="n">
        <v>11685</v>
      </c>
      <c r="K5" s="18" t="n">
        <v>0.4125913632993185</v>
      </c>
    </row>
    <row r="6" ht="22" customHeight="1">
      <c r="B6" s="11" t="n">
        <v>2</v>
      </c>
      <c r="C6" s="12" t="inlineStr">
        <is>
          <t>Быстрая покраска металла (3в1)</t>
        </is>
      </c>
      <c r="D6" s="12" t="inlineStr">
        <is>
          <t>Металл</t>
        </is>
      </c>
      <c r="E6" s="12" t="inlineStr">
        <is>
          <t>ВЫСОКИЙ</t>
        </is>
      </c>
      <c r="F6" s="12" t="inlineStr">
        <is>
          <t>3в1 ОРЕОЛ</t>
        </is>
      </c>
      <c r="G6" s="19" t="n">
        <v>30870</v>
      </c>
      <c r="H6" s="12" t="inlineStr">
        <is>
          <t>Paint Lab</t>
        </is>
      </c>
      <c r="I6" s="19" t="n">
        <v>21534</v>
      </c>
      <c r="J6" s="19" t="n">
        <v>9336</v>
      </c>
      <c r="K6" s="21" t="n">
        <v>0.3024295432458698</v>
      </c>
    </row>
    <row r="7" ht="22" customHeight="1">
      <c r="B7" s="8" t="n">
        <v>5</v>
      </c>
      <c r="C7" s="9" t="inlineStr">
        <is>
          <t>Бетонный пол без пыли и истирания</t>
        </is>
      </c>
      <c r="D7" s="9" t="inlineStr">
        <is>
          <t>Полы</t>
        </is>
      </c>
      <c r="E7" s="9" t="inlineStr">
        <is>
          <t>ВЫСОКИЙ</t>
        </is>
      </c>
      <c r="F7" s="9" t="inlineStr">
        <is>
          <t>Эконом: только Расцвет (без грунта)</t>
        </is>
      </c>
      <c r="G7" s="16" t="n">
        <v>21155</v>
      </c>
      <c r="H7" s="9" t="inlineStr">
        <is>
          <t>Рекомендовано: ГФ-021 + Расцвет</t>
        </is>
      </c>
      <c r="I7" s="16" t="n">
        <v>19486</v>
      </c>
      <c r="J7" s="16" t="n">
        <v>1669</v>
      </c>
      <c r="K7" s="18" t="n">
        <v>0.07889387851571733</v>
      </c>
    </row>
    <row r="8" ht="22" customHeight="1">
      <c r="B8" s="11" t="n">
        <v>6</v>
      </c>
      <c r="C8" s="12" t="inlineStr">
        <is>
          <t>Дерево на улице: забор, терраса</t>
        </is>
      </c>
      <c r="D8" s="12" t="inlineStr">
        <is>
          <t>Дерево (экстерьер)</t>
        </is>
      </c>
      <c r="E8" s="12" t="inlineStr">
        <is>
          <t>СРЕДНИЙ</t>
        </is>
      </c>
      <c r="F8" s="12" t="inlineStr">
        <is>
          <t>Эконом: MONLID</t>
        </is>
      </c>
      <c r="G8" s="19" t="n">
        <v>46206</v>
      </c>
      <c r="H8" s="12" t="inlineStr">
        <is>
          <t>Средний+: Luxens</t>
        </is>
      </c>
      <c r="I8" s="19" t="n">
        <v>33098</v>
      </c>
      <c r="J8" s="19" t="n">
        <v>13108</v>
      </c>
      <c r="K8" s="21" t="n">
        <v>0.2836861013721162</v>
      </c>
    </row>
    <row r="9" ht="22" customHeight="1">
      <c r="B9" s="8" t="n">
        <v>8</v>
      </c>
      <c r="C9" s="9" t="inlineStr">
        <is>
          <t>Ровный потолок без разводов</t>
        </is>
      </c>
      <c r="D9" s="9" t="inlineStr">
        <is>
          <t>Потолки</t>
        </is>
      </c>
      <c r="E9" s="9" t="inlineStr">
        <is>
          <t>НИЗКИЙ</t>
        </is>
      </c>
      <c r="F9" s="9" t="inlineStr">
        <is>
          <t>Без грунта: только краска</t>
        </is>
      </c>
      <c r="G9" s="16" t="n">
        <v>15283</v>
      </c>
      <c r="H9" s="9" t="inlineStr">
        <is>
          <t>Рекомендовано: грунт + краска</t>
        </is>
      </c>
      <c r="I9" s="16" t="n">
        <v>14468</v>
      </c>
      <c r="J9" s="16" t="n">
        <v>815</v>
      </c>
      <c r="K9" s="18" t="n">
        <v>0.05332722632990905</v>
      </c>
    </row>
    <row r="10" ht="22" customHeight="1">
      <c r="B10" s="11" t="n">
        <v>9</v>
      </c>
      <c r="C10" s="12" t="inlineStr">
        <is>
          <t>Стены, которые можно мыть</t>
        </is>
      </c>
      <c r="D10" s="12" t="inlineStr">
        <is>
          <t>Интерьер</t>
        </is>
      </c>
      <c r="E10" s="12" t="inlineStr">
        <is>
          <t>НИЗКИЙ</t>
        </is>
      </c>
      <c r="F10" s="12" t="inlineStr">
        <is>
          <t>Без грунта: только краска</t>
        </is>
      </c>
      <c r="G10" s="19" t="n">
        <v>42288</v>
      </c>
      <c r="H10" s="12" t="inlineStr">
        <is>
          <t>Рекомендовано: грунт + краска</t>
        </is>
      </c>
      <c r="I10" s="19" t="n">
        <v>37983</v>
      </c>
      <c r="J10" s="19" t="n">
        <v>4305</v>
      </c>
      <c r="K10" s="21" t="n">
        <v>0.1018019296254257</v>
      </c>
    </row>
    <row r="11" ht="22" customHeight="1">
      <c r="B11" s="8" t="n">
        <v>10</v>
      </c>
      <c r="C11" s="9" t="inlineStr">
        <is>
          <t>Покраска фасада дома</t>
        </is>
      </c>
      <c r="D11" s="9" t="inlineStr">
        <is>
          <t>Фасад</t>
        </is>
      </c>
      <c r="E11" s="9" t="inlineStr">
        <is>
          <t>НИЗКИЙ</t>
        </is>
      </c>
      <c r="F11" s="9" t="inlineStr">
        <is>
          <t>Без грунта: только краска</t>
        </is>
      </c>
      <c r="G11" s="16" t="n">
        <v>90102</v>
      </c>
      <c r="H11" s="9" t="inlineStr">
        <is>
          <t>Рекомендовано: грунт + краска</t>
        </is>
      </c>
      <c r="I11" s="16" t="n">
        <v>78422</v>
      </c>
      <c r="J11" s="16" t="n">
        <v>11680</v>
      </c>
      <c r="K11" s="18" t="n">
        <v>0.1296308627999379</v>
      </c>
    </row>
    <row r="12" ht="22" customHeight="1">
      <c r="B12" s="11" t="n">
        <v>12</v>
      </c>
      <c r="C12" s="12" t="inlineStr">
        <is>
          <t>Покраска батарей без запаха</t>
        </is>
      </c>
      <c r="D12" s="12" t="inlineStr">
        <is>
          <t>Радиаторы</t>
        </is>
      </c>
      <c r="E12" s="12" t="inlineStr">
        <is>
          <t>СРЕДНИЙ</t>
        </is>
      </c>
      <c r="F12" s="12" t="inlineStr">
        <is>
          <t>Без грунта: только эмаль</t>
        </is>
      </c>
      <c r="G12" s="19" t="n">
        <v>8240</v>
      </c>
      <c r="H12" s="12" t="inlineStr">
        <is>
          <t>Рекомендовано: ГФ-021 + эмаль</t>
        </is>
      </c>
      <c r="I12" s="19" t="n">
        <v>7496</v>
      </c>
      <c r="J12" s="19" t="n">
        <v>744</v>
      </c>
      <c r="K12" s="21" t="n">
        <v>0.09029126213592233</v>
      </c>
    </row>
    <row r="13" ht="22" customHeight="1">
      <c r="B13" s="8" t="n">
        <v>13</v>
      </c>
      <c r="C13" s="9" t="inlineStr">
        <is>
          <t>Усиленная защита ржавого металла</t>
        </is>
      </c>
      <c r="D13" s="9" t="inlineStr">
        <is>
          <t>Металл (тяжёлые условия)</t>
        </is>
      </c>
      <c r="E13" s="9" t="inlineStr">
        <is>
          <t>ВЫСОКИЙ</t>
        </is>
      </c>
      <c r="F13" s="9" t="inlineStr">
        <is>
          <t>Только 3в1</t>
        </is>
      </c>
      <c r="G13" s="16" t="n">
        <v>55566</v>
      </c>
      <c r="H13" s="9" t="inlineStr">
        <is>
          <t>ГФ-021 + 3в1 (двойная защита)</t>
        </is>
      </c>
      <c r="I13" s="16" t="n">
        <v>32491</v>
      </c>
      <c r="J13" s="16" t="n">
        <v>23075</v>
      </c>
      <c r="K13" s="18" t="n">
        <v>0.4152719288773711</v>
      </c>
    </row>
    <row r="14" ht="22" customHeight="1">
      <c r="B14" s="11" t="n">
        <v>14</v>
      </c>
      <c r="C14" s="12" t="inlineStr">
        <is>
          <t>Металлический пол / настил</t>
        </is>
      </c>
      <c r="D14" s="12" t="inlineStr">
        <is>
          <t>Металл + Полы</t>
        </is>
      </c>
      <c r="E14" s="12" t="inlineStr">
        <is>
          <t>ВЫСОКИЙ</t>
        </is>
      </c>
      <c r="F14" s="12" t="inlineStr">
        <is>
          <t>Только Расцвет (без антикоррозийной)</t>
        </is>
      </c>
      <c r="G14" s="19" t="n">
        <v>32032</v>
      </c>
      <c r="H14" s="12" t="inlineStr">
        <is>
          <t>Рекомендовано: ГФ-021 + Расцвет</t>
        </is>
      </c>
      <c r="I14" s="19" t="n">
        <v>24358</v>
      </c>
      <c r="J14" s="19" t="n">
        <v>7674</v>
      </c>
      <c r="K14" s="21" t="n">
        <v>0.2395729270729271</v>
      </c>
    </row>
    <row r="15" ht="26" customHeight="1">
      <c r="B15" s="22" t="inlineStr">
        <is>
          <t>ИТОГО экономия при выборе выгодных вариантов:</t>
        </is>
      </c>
      <c r="C15" s="23" t="n"/>
      <c r="D15" s="23" t="n"/>
      <c r="E15" s="23" t="n"/>
      <c r="F15" s="23" t="n"/>
      <c r="G15" s="23" t="n"/>
      <c r="H15" s="23" t="n"/>
      <c r="I15" s="23" t="n"/>
      <c r="J15" s="24" t="n">
        <v>84091</v>
      </c>
      <c r="K15" s="25" t="n">
        <v>0.2272342817304081</v>
      </c>
    </row>
    <row r="18">
      <c r="B18" t="inlineStr">
        <is>
          <t>Цепочка</t>
        </is>
      </c>
      <c r="C18" t="inlineStr">
        <is>
          <t>ТСО дорогой вариант (₽)</t>
        </is>
      </c>
      <c r="D18" t="inlineStr">
        <is>
          <t>ТСО выгодный вариант (₽)</t>
        </is>
      </c>
    </row>
    <row r="19">
      <c r="B19" t="inlineStr">
        <is>
          <t>1. Защита металла: грунт + эмаль</t>
        </is>
      </c>
      <c r="C19" s="26" t="n">
        <v>28321</v>
      </c>
      <c r="D19" s="26" t="n">
        <v>16636</v>
      </c>
    </row>
    <row r="20">
      <c r="B20" t="inlineStr">
        <is>
          <t>2. Быстрая покраска металла (3в1)</t>
        </is>
      </c>
      <c r="C20" s="26" t="n">
        <v>30870</v>
      </c>
      <c r="D20" s="26" t="n">
        <v>21534</v>
      </c>
    </row>
    <row r="21">
      <c r="B21" t="inlineStr">
        <is>
          <t>5. Бетонный пол без пыли и истира</t>
        </is>
      </c>
      <c r="C21" s="26" t="n">
        <v>21155</v>
      </c>
      <c r="D21" s="26" t="n">
        <v>19486</v>
      </c>
    </row>
    <row r="22">
      <c r="B22" t="inlineStr">
        <is>
          <t>6. Дерево на улице: забор, террас</t>
        </is>
      </c>
      <c r="C22" s="26" t="n">
        <v>46206</v>
      </c>
      <c r="D22" s="26" t="n">
        <v>33098</v>
      </c>
    </row>
    <row r="23">
      <c r="B23" t="inlineStr">
        <is>
          <t>8. Ровный потолок без разводов</t>
        </is>
      </c>
      <c r="C23" s="26" t="n">
        <v>15283</v>
      </c>
      <c r="D23" s="26" t="n">
        <v>14468</v>
      </c>
    </row>
    <row r="24">
      <c r="B24" t="inlineStr">
        <is>
          <t>9. Стены, которые можно мыть</t>
        </is>
      </c>
      <c r="C24" s="26" t="n">
        <v>42288</v>
      </c>
      <c r="D24" s="26" t="n">
        <v>37983</v>
      </c>
    </row>
    <row r="25">
      <c r="B25" t="inlineStr">
        <is>
          <t>10. Покраска фасада дома</t>
        </is>
      </c>
      <c r="C25" s="26" t="n">
        <v>90102</v>
      </c>
      <c r="D25" s="26" t="n">
        <v>78422</v>
      </c>
    </row>
    <row r="26">
      <c r="B26" t="inlineStr">
        <is>
          <t>12. Покраска батарей без запаха</t>
        </is>
      </c>
      <c r="C26" s="26" t="n">
        <v>8240</v>
      </c>
      <c r="D26" s="26" t="n">
        <v>7496</v>
      </c>
    </row>
    <row r="27">
      <c r="B27" t="inlineStr">
        <is>
          <t>13. Усиленная защита ржавого метал</t>
        </is>
      </c>
      <c r="C27" s="26" t="n">
        <v>55566</v>
      </c>
      <c r="D27" s="26" t="n">
        <v>32491</v>
      </c>
    </row>
    <row r="28">
      <c r="B28" t="inlineStr">
        <is>
          <t>14. Металлический пол / настил</t>
        </is>
      </c>
      <c r="C28" s="26" t="n">
        <v>32032</v>
      </c>
      <c r="D28" s="26" t="n">
        <v>24358</v>
      </c>
    </row>
  </sheetData>
  <mergeCells count="2">
    <mergeCell ref="B15:H15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СПРАВОЧНИК ТЕХНОЛОГИЧЕСКИХ ЦЕПОЧЕК</t>
        </is>
      </c>
    </row>
    <row r="3" ht="8" customHeight="1"/>
    <row r="4" ht="28" customHeight="1">
      <c r="B4" s="7" t="inlineStr">
        <is>
          <t>№</t>
        </is>
      </c>
      <c r="C4" s="7" t="inlineStr">
        <is>
          <t>Технология</t>
        </is>
      </c>
      <c r="D4" s="7" t="inlineStr">
        <is>
          <t>Сегмент</t>
        </is>
      </c>
      <c r="E4" s="7" t="inlineStr">
        <is>
          <t>Проблема</t>
        </is>
      </c>
      <c r="F4" s="7" t="inlineStr">
        <is>
          <t>SKU в цепочке</t>
        </is>
      </c>
      <c r="G4" s="7" t="inlineStr">
        <is>
          <t>Ценовой уровень</t>
        </is>
      </c>
      <c r="H4" s="7" t="inlineStr">
        <is>
          <t>Приоритет</t>
        </is>
      </c>
      <c r="I4" s="7" t="inlineStr">
        <is>
          <t>Ключевое преимущество ТСО</t>
        </is>
      </c>
    </row>
    <row r="5" ht="22" customHeight="1">
      <c r="B5" s="8" t="n">
        <v>1</v>
      </c>
      <c r="C5" s="9" t="inlineStr">
        <is>
          <t>Защита металла: грунт + эмаль</t>
        </is>
      </c>
      <c r="D5" s="9" t="inlineStr">
        <is>
          <t>Металл</t>
        </is>
      </c>
      <c r="E5" s="9" t="inlineStr">
        <is>
          <t>Ржавый металл: заборы, вороты, трубы, гаражи</t>
        </is>
      </c>
      <c r="F5" s="9" t="inlineStr">
        <is>
          <t>10 + 97 = 107 SKU</t>
        </is>
      </c>
      <c r="G5" s="9" t="inlineStr">
        <is>
          <t>Эконом / Средний</t>
        </is>
      </c>
      <c r="H5" s="27" t="inlineStr">
        <is>
          <t>ВЫСОКИЙ</t>
        </is>
      </c>
      <c r="I5" s="9" t="inlineStr">
        <is>
          <t>ГФ-021 + ОРЕОЛ Premium служит 5 лет вместо 3 — экономия до 41%</t>
        </is>
      </c>
    </row>
    <row r="6" ht="22" customHeight="1">
      <c r="B6" s="11" t="n">
        <v>2</v>
      </c>
      <c r="C6" s="12" t="inlineStr">
        <is>
          <t>Быстрая покраска металла без грунта</t>
        </is>
      </c>
      <c r="D6" s="12" t="inlineStr">
        <is>
          <t>Металл</t>
        </is>
      </c>
      <c r="E6" s="12" t="inlineStr">
        <is>
          <t>Нет времени грунтовать — покрасить ржавый забор за один проход</t>
        </is>
      </c>
      <c r="F6" s="12" t="inlineStr">
        <is>
          <t>34 SKU (3в1)</t>
        </is>
      </c>
      <c r="G6" s="12" t="inlineStr">
        <is>
          <t>Средний</t>
        </is>
      </c>
      <c r="H6" s="28" t="inlineStr">
        <is>
          <t>ВЫСОКИЙ</t>
        </is>
      </c>
      <c r="I6" s="12" t="inlineStr">
        <is>
          <t>Paint Lab служит 5 лет vs 3в1 = 4 года — экономия до 30%</t>
        </is>
      </c>
    </row>
    <row r="7" ht="22" customHeight="1">
      <c r="B7" s="8" t="n">
        <v>3</v>
      </c>
      <c r="C7" s="9" t="inlineStr">
        <is>
          <t>Премиум-покраска металла по RAL</t>
        </is>
      </c>
      <c r="D7" s="9" t="inlineStr">
        <is>
          <t>Металл</t>
        </is>
      </c>
      <c r="E7" s="9" t="inlineStr">
        <is>
          <t>Нужен точный цвет по RAL для ворот, заборов</t>
        </is>
      </c>
      <c r="F7" s="9" t="inlineStr">
        <is>
          <t>44 SKU (TITAN)</t>
        </is>
      </c>
      <c r="G7" s="9" t="inlineStr">
        <is>
          <t>Премиум</t>
        </is>
      </c>
      <c r="H7" s="27" t="inlineStr">
        <is>
          <t>ВЫСОКИЙ</t>
        </is>
      </c>
      <c r="I7" s="9" t="inlineStr">
        <is>
          <t>8 лет службы окупает цену — самый низкий ТСО</t>
        </is>
      </c>
    </row>
    <row r="8" ht="22" customHeight="1">
      <c r="B8" s="11" t="n">
        <v>4</v>
      </c>
      <c r="C8" s="12" t="inlineStr">
        <is>
          <t>Современная покраска — Paint Lab</t>
        </is>
      </c>
      <c r="D8" s="12" t="inlineStr">
        <is>
          <t>Металл</t>
        </is>
      </c>
      <c r="E8" s="12" t="inlineStr">
        <is>
          <t>Стильнее классики, без переплаты за TITAN</t>
        </is>
      </c>
      <c r="F8" s="12" t="inlineStr">
        <is>
          <t>24 SKU (Paint Lab)</t>
        </is>
      </c>
      <c r="G8" s="12" t="inlineStr">
        <is>
          <t>Средний+</t>
        </is>
      </c>
      <c r="H8" s="29" t="inlineStr">
        <is>
          <t>СРЕДНИЙ</t>
        </is>
      </c>
      <c r="I8" s="12" t="inlineStr">
        <is>
          <t>5 лет службы при средней цене — оптимальное соотношение</t>
        </is>
      </c>
    </row>
    <row r="9" ht="22" customHeight="1">
      <c r="B9" s="8" t="n">
        <v>5</v>
      </c>
      <c r="C9" s="9" t="inlineStr">
        <is>
          <t>Бетонный пол без пыли и истирания</t>
        </is>
      </c>
      <c r="D9" s="9" t="inlineStr">
        <is>
          <t>Полы</t>
        </is>
      </c>
      <c r="E9" s="9" t="inlineStr">
        <is>
          <t>Бетонный пол пылит, впитывает масло, крошится</t>
        </is>
      </c>
      <c r="F9" s="9" t="inlineStr">
        <is>
          <t>10 + 21 = 31 SKU</t>
        </is>
      </c>
      <c r="G9" s="9" t="inlineStr">
        <is>
          <t>Средний</t>
        </is>
      </c>
      <c r="H9" s="27" t="inlineStr">
        <is>
          <t>ВЫСОКИЙ</t>
        </is>
      </c>
      <c r="I9" s="9" t="inlineStr">
        <is>
          <t>Грунт снижает расход краски в 1.8× — экономия до 35%</t>
        </is>
      </c>
    </row>
    <row r="10" ht="22" customHeight="1">
      <c r="B10" s="11" t="n">
        <v>6</v>
      </c>
      <c r="C10" s="12" t="inlineStr">
        <is>
          <t>Дерево на улице: забор, терраса</t>
        </is>
      </c>
      <c r="D10" s="12" t="inlineStr">
        <is>
          <t>Дерево (экст.)</t>
        </is>
      </c>
      <c r="E10" s="12" t="inlineStr">
        <is>
          <t>Забор/терраса сереют, разбухают, трескаются</t>
        </is>
      </c>
      <c r="F10" s="12" t="inlineStr">
        <is>
          <t>12 SKU (MONLID + Luxens)</t>
        </is>
      </c>
      <c r="G10" s="12" t="inlineStr">
        <is>
          <t>Эконом / Средний</t>
        </is>
      </c>
      <c r="H10" s="29" t="inlineStr">
        <is>
          <t>СРЕДНИЙ</t>
        </is>
      </c>
      <c r="I10" s="12" t="inlineStr">
        <is>
          <t>Luxens служит 6 лет vs MONLID 4 — экономия 28%</t>
        </is>
      </c>
    </row>
    <row r="11" ht="22" customHeight="1">
      <c r="B11" s="8" t="n">
        <v>7</v>
      </c>
      <c r="C11" s="9" t="inlineStr">
        <is>
          <t>Паркет и деревянный пол внутри</t>
        </is>
      </c>
      <c r="D11" s="9" t="inlineStr">
        <is>
          <t>Дерево (инт.)</t>
        </is>
      </c>
      <c r="E11" s="9" t="inlineStr">
        <is>
          <t>Паркет истирается, царапается, тускнеет</t>
        </is>
      </c>
      <c r="F11" s="9" t="inlineStr">
        <is>
          <t>6 SKU (AVANTGARDE)</t>
        </is>
      </c>
      <c r="G11" s="9" t="inlineStr">
        <is>
          <t>Премиум</t>
        </is>
      </c>
      <c r="H11" s="9" t="inlineStr">
        <is>
          <t>НИЗКИЙ</t>
        </is>
      </c>
      <c r="I11" s="9" t="inlineStr">
        <is>
          <t>Гибридная технология: 7 лет службы, не желтеет</t>
        </is>
      </c>
    </row>
    <row r="12" ht="22" customHeight="1">
      <c r="B12" s="11" t="n">
        <v>8</v>
      </c>
      <c r="C12" s="12" t="inlineStr">
        <is>
          <t>Ровный потолок без разводов</t>
        </is>
      </c>
      <c r="D12" s="12" t="inlineStr">
        <is>
          <t>Потолки</t>
        </is>
      </c>
      <c r="E12" s="12" t="inlineStr">
        <is>
          <t>Краска ложится полосами, видны разводы</t>
        </is>
      </c>
      <c r="F12" s="12" t="inlineStr">
        <is>
          <t>1 + 4 = 5 SKU</t>
        </is>
      </c>
      <c r="G12" s="12" t="inlineStr">
        <is>
          <t>Эконом</t>
        </is>
      </c>
      <c r="H12" s="12" t="inlineStr">
        <is>
          <t>НИЗКИЙ</t>
        </is>
      </c>
      <c r="I12" s="12" t="inlineStr">
        <is>
          <t>Грунт предотвращает пятна и снижает расход на 30%</t>
        </is>
      </c>
    </row>
    <row r="13" ht="22" customHeight="1">
      <c r="B13" s="8" t="n">
        <v>9</v>
      </c>
      <c r="C13" s="9" t="inlineStr">
        <is>
          <t>Стены, которые можно мыть</t>
        </is>
      </c>
      <c r="D13" s="9" t="inlineStr">
        <is>
          <t>Интерьер</t>
        </is>
      </c>
      <c r="E13" s="9" t="inlineStr">
        <is>
          <t>Стены пачкаются, краска размокает при мытье</t>
        </is>
      </c>
      <c r="F13" s="9" t="inlineStr">
        <is>
          <t>1 + 4 = 5 SKU</t>
        </is>
      </c>
      <c r="G13" s="9" t="inlineStr">
        <is>
          <t>Средний</t>
        </is>
      </c>
      <c r="H13" s="9" t="inlineStr">
        <is>
          <t>НИЗКИЙ</t>
        </is>
      </c>
      <c r="I13" s="9" t="inlineStr">
        <is>
          <t>Грунт экономит краску — окупается за 1 цикл</t>
        </is>
      </c>
    </row>
    <row r="14" ht="22" customHeight="1">
      <c r="B14" s="11" t="n">
        <v>10</v>
      </c>
      <c r="C14" s="12" t="inlineStr">
        <is>
          <t>Покраска фасада дома</t>
        </is>
      </c>
      <c r="D14" s="12" t="inlineStr">
        <is>
          <t>Фасад</t>
        </is>
      </c>
      <c r="E14" s="12" t="inlineStr">
        <is>
          <t>Фасад потрескался, выцвел</t>
        </is>
      </c>
      <c r="F14" s="12" t="inlineStr">
        <is>
          <t>1 + 2 = 3 SKU</t>
        </is>
      </c>
      <c r="G14" s="12" t="inlineStr">
        <is>
          <t>Средний</t>
        </is>
      </c>
      <c r="H14" s="12" t="inlineStr">
        <is>
          <t>НИЗКИЙ</t>
        </is>
      </c>
      <c r="I14" s="12" t="inlineStr">
        <is>
          <t>Без грунта расход в 1.5× выше — переплата до 30%</t>
        </is>
      </c>
    </row>
    <row r="15" ht="22" customHeight="1">
      <c r="B15" s="8" t="n">
        <v>11</v>
      </c>
      <c r="C15" s="9" t="inlineStr">
        <is>
          <t>Декоративная стена с текстурой</t>
        </is>
      </c>
      <c r="D15" s="9" t="inlineStr">
        <is>
          <t>Интерьер / Декор</t>
        </is>
      </c>
      <c r="E15" s="9" t="inlineStr">
        <is>
          <t>Гладкая краска скучно, хочется фактуру</t>
        </is>
      </c>
      <c r="F15" s="9" t="inlineStr">
        <is>
          <t>1 + 2 = 3 SKU</t>
        </is>
      </c>
      <c r="G15" s="9" t="inlineStr">
        <is>
          <t>Средний</t>
        </is>
      </c>
      <c r="H15" s="9" t="inlineStr">
        <is>
          <t>НИЗКИЙ</t>
        </is>
      </c>
      <c r="I15" s="9" t="inlineStr">
        <is>
          <t>Скрывает дефекты стен — экономия на выравнивании</t>
        </is>
      </c>
    </row>
    <row r="16" ht="22" customHeight="1">
      <c r="B16" s="11" t="n">
        <v>12</v>
      </c>
      <c r="C16" s="12" t="inlineStr">
        <is>
          <t>Покраска батарей без запаха</t>
        </is>
      </c>
      <c r="D16" s="12" t="inlineStr">
        <is>
          <t>Радиаторы</t>
        </is>
      </c>
      <c r="E16" s="12" t="inlineStr">
        <is>
          <t>Ржавые батареи, краска желтеет от нагрева</t>
        </is>
      </c>
      <c r="F16" s="12" t="inlineStr">
        <is>
          <t>10 + 1 = 11 SKU</t>
        </is>
      </c>
      <c r="G16" s="12" t="inlineStr">
        <is>
          <t>Эконом</t>
        </is>
      </c>
      <c r="H16" s="29" t="inlineStr">
        <is>
          <t>СРЕДНИЙ</t>
        </is>
      </c>
      <c r="I16" s="12" t="inlineStr">
        <is>
          <t>ГФ-021 + эмаль служит 7 лет vs 4 без грунта</t>
        </is>
      </c>
    </row>
    <row r="17" ht="22" customHeight="1">
      <c r="B17" s="8" t="n">
        <v>13</v>
      </c>
      <c r="C17" s="9" t="inlineStr">
        <is>
          <t>Усиленная защита ржавого металла</t>
        </is>
      </c>
      <c r="D17" s="9" t="inlineStr">
        <is>
          <t>Металл (тяж. усл.)</t>
        </is>
      </c>
      <c r="E17" s="9" t="inlineStr">
        <is>
          <t>Металл сильно проржавел — 3в1 не справится</t>
        </is>
      </c>
      <c r="F17" s="9" t="inlineStr">
        <is>
          <t>10 + 78 = 88 SKU</t>
        </is>
      </c>
      <c r="G17" s="9" t="inlineStr">
        <is>
          <t>Средний</t>
        </is>
      </c>
      <c r="H17" s="27" t="inlineStr">
        <is>
          <t>ВЫСОКИЙ</t>
        </is>
      </c>
      <c r="I17" s="9" t="inlineStr">
        <is>
          <t>ГФ-021 + 3в1 = 10 лет vs 3в1 = 4 — экономия до 42%</t>
        </is>
      </c>
    </row>
    <row r="18" ht="22" customHeight="1">
      <c r="B18" s="11" t="n">
        <v>14</v>
      </c>
      <c r="C18" s="12" t="inlineStr">
        <is>
          <t>Металлический пол / настил</t>
        </is>
      </c>
      <c r="D18" s="12" t="inlineStr">
        <is>
          <t>Металл + Полы</t>
        </is>
      </c>
      <c r="E18" s="12" t="inlineStr">
        <is>
          <t>Настил ржавеет и скользит</t>
        </is>
      </c>
      <c r="F18" s="12" t="inlineStr">
        <is>
          <t>10 + 21 = 31 SKU</t>
        </is>
      </c>
      <c r="G18" s="12" t="inlineStr">
        <is>
          <t>Средний</t>
        </is>
      </c>
      <c r="H18" s="28" t="inlineStr">
        <is>
          <t>ВЫСОКИЙ</t>
        </is>
      </c>
      <c r="I18" s="12" t="inlineStr">
        <is>
          <t>Без ГФ-021 краска отслаивается за 3 года — переплата 2×</t>
        </is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5" customHeight="1"/>
    <row r="2" ht="32" customHeight="1">
      <c r="B2" s="1" t="inlineStr">
        <is>
          <t>СЦЕНАРИИ ТСО ДЛЯ МЕТАЛЛА — ДЕТАЛЬНЫЙ РАСЧЁТ</t>
        </is>
      </c>
    </row>
    <row r="3" ht="8" customHeight="1"/>
    <row r="4">
      <c r="B4" s="2" t="inlineStr">
        <is>
          <t>МАТРИЦА ТСО: ЦЕПОЧКА × ОБЪЕКТ (₽ за 10 лет)</t>
        </is>
      </c>
    </row>
    <row r="5" ht="28" customHeight="1">
      <c r="B5" s="7" t="inlineStr">
        <is>
          <t>Вариант цепочки</t>
        </is>
      </c>
      <c r="C5" s="7" t="inlineStr">
        <is>
          <t>Ворота металлические
(16 м²)</t>
        </is>
      </c>
      <c r="D5" s="7" t="inlineStr">
        <is>
          <t>Гараж металлический
(54 м²)</t>
        </is>
      </c>
      <c r="E5" s="7" t="inlineStr">
        <is>
          <t>Дверь металлическая
(4.4 м²)</t>
        </is>
      </c>
      <c r="F5" s="7" t="inlineStr">
        <is>
          <t>Забор металлический
(30 м²)</t>
        </is>
      </c>
    </row>
    <row r="6" ht="22" customHeight="1">
      <c r="B6" s="9" t="inlineStr">
        <is>
          <t>1. Эконом: ГФ-021 + ПФ-115 ПростоКРАСКА</t>
        </is>
      </c>
      <c r="C6" s="16" t="n">
        <v>28321</v>
      </c>
      <c r="D6" s="16" t="n">
        <v>95584</v>
      </c>
      <c r="E6" s="16" t="n">
        <v>7788</v>
      </c>
      <c r="F6" s="16" t="n">
        <v>53102</v>
      </c>
    </row>
    <row r="7" ht="22" customHeight="1">
      <c r="B7" s="12" t="inlineStr">
        <is>
          <t>1. Средний: ГФ-021 + ПФ-115 ОРЕОЛ Premium</t>
        </is>
      </c>
      <c r="C7" s="19" t="n">
        <v>16636</v>
      </c>
      <c r="D7" s="19" t="n">
        <v>56145</v>
      </c>
      <c r="E7" s="19" t="n">
        <v>4575</v>
      </c>
      <c r="F7" s="19" t="n">
        <v>31192</v>
      </c>
    </row>
    <row r="8" ht="22" customHeight="1">
      <c r="B8" s="9" t="inlineStr">
        <is>
          <t>2. 3в1 ОРЕОЛ</t>
        </is>
      </c>
      <c r="C8" s="16" t="n">
        <v>16464</v>
      </c>
      <c r="D8" s="16" t="n">
        <v>55566</v>
      </c>
      <c r="E8" s="16" t="n">
        <v>4528</v>
      </c>
      <c r="F8" s="16" t="n">
        <v>30870</v>
      </c>
    </row>
    <row r="9" ht="22" customHeight="1">
      <c r="B9" s="12" t="inlineStr">
        <is>
          <t>2. Paint Lab</t>
        </is>
      </c>
      <c r="C9" s="19" t="n">
        <v>11485</v>
      </c>
      <c r="D9" s="19" t="n">
        <v>38761</v>
      </c>
      <c r="E9" s="19" t="n">
        <v>3158</v>
      </c>
      <c r="F9" s="19" t="n">
        <v>21534</v>
      </c>
    </row>
    <row r="10" ht="22" customHeight="1">
      <c r="B10" s="9" t="inlineStr">
        <is>
          <t>2. TITAN (премиум)</t>
        </is>
      </c>
      <c r="C10" s="16" t="n">
        <v>13114</v>
      </c>
      <c r="D10" s="16" t="n">
        <v>44258</v>
      </c>
      <c r="E10" s="16" t="n">
        <v>3606</v>
      </c>
      <c r="F10" s="16" t="n">
        <v>24588</v>
      </c>
    </row>
    <row r="11" ht="22" customHeight="1">
      <c r="B11" s="12" t="inlineStr">
        <is>
          <t>3. TITAN (грунт-эмаль по ржавчине)</t>
        </is>
      </c>
      <c r="C11" s="19" t="n">
        <v>13114</v>
      </c>
      <c r="D11" s="19" t="n">
        <v>44258</v>
      </c>
      <c r="E11" s="19" t="n">
        <v>3606</v>
      </c>
      <c r="F11" s="19" t="n">
        <v>24588</v>
      </c>
    </row>
    <row r="12" ht="22" customHeight="1">
      <c r="B12" s="9" t="inlineStr">
        <is>
          <t>4. Paint Lab</t>
        </is>
      </c>
      <c r="C12" s="16" t="n">
        <v>11485</v>
      </c>
      <c r="D12" s="16" t="n">
        <v>38761</v>
      </c>
      <c r="E12" s="16" t="n">
        <v>3158</v>
      </c>
      <c r="F12" s="16" t="n">
        <v>21534</v>
      </c>
    </row>
    <row r="13" ht="22" customHeight="1">
      <c r="B13" s="12" t="inlineStr">
        <is>
          <t>13. Только 3в1</t>
        </is>
      </c>
      <c r="C13" s="19" t="n">
        <v>16464</v>
      </c>
      <c r="D13" s="19" t="n">
        <v>55566</v>
      </c>
      <c r="E13" s="19" t="n">
        <v>4528</v>
      </c>
      <c r="F13" s="19" t="n">
        <v>30870</v>
      </c>
    </row>
    <row r="14" ht="22" customHeight="1">
      <c r="B14" s="9" t="inlineStr">
        <is>
          <t>13. ГФ-021 + 3в1 (двойная защита)</t>
        </is>
      </c>
      <c r="C14" s="16" t="n">
        <v>9627</v>
      </c>
      <c r="D14" s="16" t="n">
        <v>32491</v>
      </c>
      <c r="E14" s="16" t="n">
        <v>2647</v>
      </c>
      <c r="F14" s="16" t="n">
        <v>18050</v>
      </c>
    </row>
    <row r="15" ht="22" customHeight="1">
      <c r="B15" s="12" t="inlineStr">
        <is>
          <t>13. ГФ-021 + TITAN (максимум)</t>
        </is>
      </c>
      <c r="C15" s="19" t="n">
        <v>10696</v>
      </c>
      <c r="D15" s="19" t="n">
        <v>36098</v>
      </c>
      <c r="E15" s="19" t="n">
        <v>2941</v>
      </c>
      <c r="F15" s="19" t="n">
        <v>20054</v>
      </c>
    </row>
    <row r="16" ht="22" customHeight="1">
      <c r="B16" s="9" t="inlineStr">
        <is>
          <t>14. Только Расцвет (без антикоррозийной)</t>
        </is>
      </c>
      <c r="C16" s="16" t="n">
        <v>20500</v>
      </c>
      <c r="D16" s="16" t="n">
        <v>69189</v>
      </c>
      <c r="E16" s="16" t="n">
        <v>5638</v>
      </c>
      <c r="F16" s="16" t="n">
        <v>38438</v>
      </c>
    </row>
    <row r="17" ht="22" customHeight="1">
      <c r="B17" s="12" t="inlineStr">
        <is>
          <t>14. Рекомендовано: ГФ-021 + Расцвет</t>
        </is>
      </c>
      <c r="C17" s="19" t="n">
        <v>15589</v>
      </c>
      <c r="D17" s="19" t="n">
        <v>52613</v>
      </c>
      <c r="E17" s="19" t="n">
        <v>4287</v>
      </c>
      <c r="F17" s="19" t="n">
        <v>29230</v>
      </c>
    </row>
    <row r="20">
      <c r="B20" s="2" t="inlineStr">
        <is>
          <t>МАТРИЦА ТСО НА 1 м² (₽/м² за 10 лет)</t>
        </is>
      </c>
    </row>
    <row r="21" ht="28" customHeight="1">
      <c r="B21" s="7" t="inlineStr">
        <is>
          <t>Вариант цепочки</t>
        </is>
      </c>
      <c r="C21" s="7" t="inlineStr">
        <is>
          <t>Ворота металлические
(16 м²)</t>
        </is>
      </c>
      <c r="D21" s="7" t="inlineStr">
        <is>
          <t>Гараж металлический
(54 м²)</t>
        </is>
      </c>
      <c r="E21" s="7" t="inlineStr">
        <is>
          <t>Дверь металлическая
(4.4 м²)</t>
        </is>
      </c>
      <c r="F21" s="7" t="inlineStr">
        <is>
          <t>Забор металлический
(30 м²)</t>
        </is>
      </c>
    </row>
    <row r="22" ht="22" customHeight="1">
      <c r="B22" s="9" t="inlineStr">
        <is>
          <t>1. Эконом: ГФ-021 + ПФ-115 ПростоКРАСКА</t>
        </is>
      </c>
      <c r="C22" s="16" t="n">
        <v>1770</v>
      </c>
      <c r="D22" s="16" t="n">
        <v>1770</v>
      </c>
      <c r="E22" s="16" t="n">
        <v>1770</v>
      </c>
      <c r="F22" s="16" t="n">
        <v>1770</v>
      </c>
    </row>
    <row r="23" ht="22" customHeight="1">
      <c r="B23" s="12" t="inlineStr">
        <is>
          <t>1. Средний: ГФ-021 + ПФ-115 ОРЕОЛ Premium</t>
        </is>
      </c>
      <c r="C23" s="19" t="n">
        <v>1040</v>
      </c>
      <c r="D23" s="19" t="n">
        <v>1040</v>
      </c>
      <c r="E23" s="19" t="n">
        <v>1040</v>
      </c>
      <c r="F23" s="19" t="n">
        <v>1040</v>
      </c>
    </row>
    <row r="24" ht="22" customHeight="1">
      <c r="B24" s="9" t="inlineStr">
        <is>
          <t>2. 3в1 ОРЕОЛ</t>
        </is>
      </c>
      <c r="C24" s="16" t="n">
        <v>1029</v>
      </c>
      <c r="D24" s="16" t="n">
        <v>1029</v>
      </c>
      <c r="E24" s="16" t="n">
        <v>1029</v>
      </c>
      <c r="F24" s="16" t="n">
        <v>1029</v>
      </c>
    </row>
    <row r="25" ht="22" customHeight="1">
      <c r="B25" s="12" t="inlineStr">
        <is>
          <t>2. Paint Lab</t>
        </is>
      </c>
      <c r="C25" s="19" t="n">
        <v>718</v>
      </c>
      <c r="D25" s="19" t="n">
        <v>718</v>
      </c>
      <c r="E25" s="19" t="n">
        <v>718</v>
      </c>
      <c r="F25" s="19" t="n">
        <v>718</v>
      </c>
    </row>
    <row r="26" ht="22" customHeight="1">
      <c r="B26" s="9" t="inlineStr">
        <is>
          <t>2. TITAN (премиум)</t>
        </is>
      </c>
      <c r="C26" s="16" t="n">
        <v>820</v>
      </c>
      <c r="D26" s="16" t="n">
        <v>820</v>
      </c>
      <c r="E26" s="16" t="n">
        <v>820</v>
      </c>
      <c r="F26" s="16" t="n">
        <v>820</v>
      </c>
    </row>
    <row r="27" ht="22" customHeight="1">
      <c r="B27" s="12" t="inlineStr">
        <is>
          <t>3. TITAN (грунт-эмаль по ржавчине)</t>
        </is>
      </c>
      <c r="C27" s="19" t="n">
        <v>820</v>
      </c>
      <c r="D27" s="19" t="n">
        <v>820</v>
      </c>
      <c r="E27" s="19" t="n">
        <v>820</v>
      </c>
      <c r="F27" s="19" t="n">
        <v>820</v>
      </c>
    </row>
    <row r="28" ht="22" customHeight="1">
      <c r="B28" s="9" t="inlineStr">
        <is>
          <t>4. Paint Lab</t>
        </is>
      </c>
      <c r="C28" s="16" t="n">
        <v>718</v>
      </c>
      <c r="D28" s="16" t="n">
        <v>718</v>
      </c>
      <c r="E28" s="16" t="n">
        <v>718</v>
      </c>
      <c r="F28" s="16" t="n">
        <v>718</v>
      </c>
    </row>
    <row r="29" ht="22" customHeight="1">
      <c r="B29" s="12" t="inlineStr">
        <is>
          <t>13. Только 3в1</t>
        </is>
      </c>
      <c r="C29" s="19" t="n">
        <v>1029</v>
      </c>
      <c r="D29" s="19" t="n">
        <v>1029</v>
      </c>
      <c r="E29" s="19" t="n">
        <v>1029</v>
      </c>
      <c r="F29" s="19" t="n">
        <v>1029</v>
      </c>
    </row>
    <row r="30" ht="22" customHeight="1">
      <c r="B30" s="9" t="inlineStr">
        <is>
          <t>13. ГФ-021 + 3в1 (двойная защита)</t>
        </is>
      </c>
      <c r="C30" s="16" t="n">
        <v>602</v>
      </c>
      <c r="D30" s="16" t="n">
        <v>602</v>
      </c>
      <c r="E30" s="16" t="n">
        <v>602</v>
      </c>
      <c r="F30" s="16" t="n">
        <v>602</v>
      </c>
    </row>
    <row r="31" ht="22" customHeight="1">
      <c r="B31" s="12" t="inlineStr">
        <is>
          <t>13. ГФ-021 + TITAN (максимум)</t>
        </is>
      </c>
      <c r="C31" s="19" t="n">
        <v>668</v>
      </c>
      <c r="D31" s="19" t="n">
        <v>668</v>
      </c>
      <c r="E31" s="19" t="n">
        <v>668</v>
      </c>
      <c r="F31" s="19" t="n">
        <v>668</v>
      </c>
    </row>
    <row r="32" ht="22" customHeight="1">
      <c r="B32" s="9" t="inlineStr">
        <is>
          <t>14. Только Расцвет (без антикоррозийной)</t>
        </is>
      </c>
      <c r="C32" s="16" t="n">
        <v>1281</v>
      </c>
      <c r="D32" s="16" t="n">
        <v>1281</v>
      </c>
      <c r="E32" s="16" t="n">
        <v>1281</v>
      </c>
      <c r="F32" s="16" t="n">
        <v>1281</v>
      </c>
    </row>
    <row r="33" ht="22" customHeight="1">
      <c r="B33" s="12" t="inlineStr">
        <is>
          <t>14. Рекомендовано: ГФ-021 + Расцвет</t>
        </is>
      </c>
      <c r="C33" s="19" t="n">
        <v>974</v>
      </c>
      <c r="D33" s="19" t="n">
        <v>974</v>
      </c>
      <c r="E33" s="19" t="n">
        <v>974</v>
      </c>
      <c r="F33" s="19" t="n">
        <v>974</v>
      </c>
    </row>
    <row r="36">
      <c r="B36" t="inlineStr">
        <is>
          <t>Вариант</t>
        </is>
      </c>
      <c r="C36" t="inlineStr">
        <is>
          <t>Ворота 16м²</t>
        </is>
      </c>
      <c r="D36" t="inlineStr">
        <is>
          <t>Гараж 54м²</t>
        </is>
      </c>
      <c r="E36" t="inlineStr">
        <is>
          <t>Дверь 4.4м²</t>
        </is>
      </c>
    </row>
    <row r="37">
      <c r="B37" t="inlineStr">
        <is>
          <t>1. Эконом: ГФ-021 + ПФ-115 П</t>
        </is>
      </c>
      <c r="C37" s="26" t="n">
        <v>28321</v>
      </c>
      <c r="D37" s="26" t="n">
        <v>95584</v>
      </c>
      <c r="E37" s="26" t="n">
        <v>7788</v>
      </c>
    </row>
    <row r="38">
      <c r="B38" t="inlineStr">
        <is>
          <t xml:space="preserve">1. Средний: ГФ-021 + ПФ-115 </t>
        </is>
      </c>
      <c r="C38" s="26" t="n">
        <v>16636</v>
      </c>
      <c r="D38" s="26" t="n">
        <v>56145</v>
      </c>
      <c r="E38" s="26" t="n">
        <v>4575</v>
      </c>
    </row>
    <row r="39">
      <c r="B39" t="inlineStr">
        <is>
          <t>2. 3в1 ОРЕОЛ</t>
        </is>
      </c>
      <c r="C39" s="26" t="n">
        <v>16464</v>
      </c>
      <c r="D39" s="26" t="n">
        <v>55566</v>
      </c>
      <c r="E39" s="26" t="n">
        <v>4528</v>
      </c>
    </row>
    <row r="40">
      <c r="B40" t="inlineStr">
        <is>
          <t>2. Paint Lab</t>
        </is>
      </c>
      <c r="C40" s="26" t="n">
        <v>11485</v>
      </c>
      <c r="D40" s="26" t="n">
        <v>38761</v>
      </c>
      <c r="E40" s="26" t="n">
        <v>3158</v>
      </c>
    </row>
    <row r="41">
      <c r="B41" t="inlineStr">
        <is>
          <t>2. TITAN (премиум)</t>
        </is>
      </c>
      <c r="C41" s="26" t="n">
        <v>13114</v>
      </c>
      <c r="D41" s="26" t="n">
        <v>44258</v>
      </c>
      <c r="E41" s="26" t="n">
        <v>3606</v>
      </c>
    </row>
    <row r="42">
      <c r="B42" t="inlineStr">
        <is>
          <t>3. TITAN (грунт-эмаль по ржа</t>
        </is>
      </c>
      <c r="C42" s="26" t="n">
        <v>13114</v>
      </c>
      <c r="D42" s="26" t="n">
        <v>44258</v>
      </c>
      <c r="E42" s="26" t="n">
        <v>3606</v>
      </c>
    </row>
    <row r="43">
      <c r="B43" t="inlineStr">
        <is>
          <t>4. Paint Lab</t>
        </is>
      </c>
      <c r="C43" s="26" t="n">
        <v>11485</v>
      </c>
      <c r="D43" s="26" t="n">
        <v>38761</v>
      </c>
      <c r="E43" s="26" t="n">
        <v>3158</v>
      </c>
    </row>
    <row r="44">
      <c r="B44" t="inlineStr">
        <is>
          <t>13. Только 3в1</t>
        </is>
      </c>
      <c r="C44" s="26" t="n">
        <v>16464</v>
      </c>
      <c r="D44" s="26" t="n">
        <v>55566</v>
      </c>
      <c r="E44" s="26" t="n">
        <v>4528</v>
      </c>
    </row>
    <row r="45">
      <c r="B45" t="inlineStr">
        <is>
          <t>13. ГФ-021 + 3в1 (двойная защ</t>
        </is>
      </c>
      <c r="C45" s="26" t="n">
        <v>9627</v>
      </c>
      <c r="D45" s="26" t="n">
        <v>32491</v>
      </c>
      <c r="E45" s="26" t="n">
        <v>2647</v>
      </c>
    </row>
    <row r="46">
      <c r="B46" t="inlineStr">
        <is>
          <t>13. ГФ-021 + TITAN (максимум)</t>
        </is>
      </c>
      <c r="C46" s="26" t="n">
        <v>10696</v>
      </c>
      <c r="D46" s="26" t="n">
        <v>36098</v>
      </c>
      <c r="E46" s="26" t="n">
        <v>2941</v>
      </c>
    </row>
    <row r="47">
      <c r="B47" t="inlineStr">
        <is>
          <t>14. Только Расцвет (без антик</t>
        </is>
      </c>
      <c r="C47" s="26" t="n">
        <v>20500</v>
      </c>
      <c r="D47" s="26" t="n">
        <v>69189</v>
      </c>
      <c r="E47" s="26" t="n">
        <v>5638</v>
      </c>
    </row>
    <row r="48">
      <c r="B48" t="inlineStr">
        <is>
          <t>14. Рекомендовано: ГФ-021 + Р</t>
        </is>
      </c>
      <c r="C48" s="26" t="n">
        <v>15589</v>
      </c>
      <c r="D48" s="26" t="n">
        <v>52613</v>
      </c>
      <c r="E48" s="26" t="n">
        <v>4287</v>
      </c>
    </row>
  </sheetData>
  <mergeCells count="3">
    <mergeCell ref="B2:L2"/>
    <mergeCell ref="B4:L4"/>
    <mergeCell ref="B20:L2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1" ht="15" customHeight="1"/>
    <row r="2" ht="32" customHeight="1">
      <c r="B2" s="1" t="inlineStr">
        <is>
          <t>МЕТОДОЛОГИЯ РАСЧЁТА ТСО</t>
        </is>
      </c>
    </row>
    <row r="3" ht="8" customHeight="1"/>
    <row r="4">
      <c r="B4" s="2" t="inlineStr">
        <is>
          <t>Формула ТСО</t>
        </is>
      </c>
    </row>
    <row r="5" ht="45" customHeight="1">
      <c r="B5" s="30" t="inlineStr">
        <is>
          <t>ТСО = Стоимость 1-го цикла + (Кол-во циклов - 1) × Стоимость перекраски</t>
        </is>
      </c>
    </row>
    <row r="6" ht="20" customHeight="1"/>
    <row r="8">
      <c r="B8" s="2" t="inlineStr">
        <is>
          <t>Кол-во циклов</t>
        </is>
      </c>
    </row>
    <row r="9" ht="45" customHeight="1">
      <c r="B9" s="30" t="inlineStr">
        <is>
          <t>Цикл = ОДИН полный процесс покраски (грунтовка + финишное покрытие, или только 3в1).
Кол-во циклов = ОКРВВЕРХ(Горизонт / Срок службы).
Пример: горизонт 10 лет, срок службы 3 года → 4 цикла (0, 3, 6, 9 год).</t>
        </is>
      </c>
    </row>
    <row r="10" ht="20" customHeight="1"/>
    <row r="12">
      <c r="B12" s="2" t="inlineStr">
        <is>
          <t>Стоимость 1-го цикла</t>
        </is>
      </c>
    </row>
    <row r="13" ht="45" customHeight="1">
      <c r="B13" s="30" t="inlineStr">
        <is>
          <t>Стоимость = (Материал ₽/м² + Работа ₽/м²) × Площадь.
Материал = сумма(Расход г/м² × Слои × Цена за кг/л / 1000) по всем шагам.
Работа = сумма(Ставка ₽/м²) по всем операциям.</t>
        </is>
      </c>
    </row>
    <row r="14" ht="20" customHeight="1"/>
    <row r="16">
      <c r="B16" s="2" t="inlineStr">
        <is>
          <t>Стоимость перекраски</t>
        </is>
      </c>
    </row>
    <row r="17" ht="45" customHeight="1">
      <c r="B17" s="30" t="inlineStr">
        <is>
          <t>КЛЮЧЕВОЙ МОМЕНТ: перекраска ДЕШЕВЛЕ первоначальной покраски!
- 2-шаговые цепочки (грунт + краска): перекраска = только финишное покрытие + лёгкая подготовка ≈ 55-65% от первоначальной
- 1-шаговые цепочки (3в1, TITAN): перекраска = шлифовка + новое покрытие ≈ 100% стоимости
- Без грунта: каждая перекраска = полная стоимость = 100%</t>
        </is>
      </c>
    </row>
    <row r="18" ht="20" customHeight="1"/>
    <row r="20">
      <c r="B20" s="2" t="inlineStr">
        <is>
          <t>Срок службы</t>
        </is>
      </c>
    </row>
    <row r="21" ht="45" customHeight="1">
      <c r="B21" s="30" t="inlineStr">
        <is>
          <t>Оценка на основе ТТД производителей и опыта эксплуатации.
Внешние поверхности (металл, фасад) — агрессивная среда, срок ниже.
Внутренние поверхности (потолки, стены) — мягкие условия, срок выше.
Без грунта — сокращённый срок (плохая адгезия, неравномерное впитывание).</t>
        </is>
      </c>
    </row>
    <row r="22" ht="20" customHeight="1"/>
    <row r="24">
      <c r="B24" s="2" t="inlineStr">
        <is>
          <t>Допущения</t>
        </is>
      </c>
    </row>
    <row r="25" ht="45" customHeight="1">
      <c r="B25" s="30" t="inlineStr">
        <is>
          <t>1. Перекраска = стоимость перекраски (не полная первоначальная) — грунт сохраняется.
2. Цены — ориентировочные розничные Лемана ПРО на 2025-2026.
3. Расход — по ТТД производителей, с запасом ~10%.
4. Работы выполняются нанятыми мастерами (не DIY).
5. Ставки на работу — средние по РФ на 2025-2026.
6. «Без грунта» варианты имеют расход в 1.5-1.8× выше.</t>
        </is>
      </c>
    </row>
    <row r="26" ht="20" customHeight="1"/>
    <row r="28">
      <c r="B28" s="2" t="inlineStr">
        <is>
          <t>Почему ТСО важнее цены за банку</t>
        </is>
      </c>
    </row>
    <row r="29" ht="45" customHeight="1">
      <c r="B29" s="30" t="inlineStr">
        <is>
          <t>Краска за 190 ₽/кг, которую нужно перекрашивать каждые 2 года, за 10 лет обходится ДОРОЖЕ, чем краска за 1100 ₽/кг на 8 лет. ТСО учитывает ВСЕ затраты: материалы + работа × количество циклов.</t>
        </is>
      </c>
    </row>
    <row r="30" ht="20" customHeight="1"/>
    <row r="32">
      <c r="B32" s="2" t="inlineStr">
        <is>
          <t>Логика колонки «Экономия»</t>
        </is>
      </c>
    </row>
    <row r="33" ht="45" customHeight="1">
      <c r="B33" s="30" t="inlineStr">
        <is>
          <t>Экономия = ТСО(самый дорогой вариант) - ТСО(этот вариант).
Положительное зелёное значение = этот вариант дешевле самого дорогого.
0 = это самый дорогой вариант.
Лучший вариант всегда показывает наибольшую экономию (зелёный).</t>
        </is>
      </c>
    </row>
    <row r="34" ht="20" customHeight="1"/>
  </sheetData>
  <mergeCells count="17">
    <mergeCell ref="B8:H8"/>
    <mergeCell ref="B32:H32"/>
    <mergeCell ref="B9:H10"/>
    <mergeCell ref="B4:H4"/>
    <mergeCell ref="B13:H14"/>
    <mergeCell ref="B12:H12"/>
    <mergeCell ref="B24:H24"/>
    <mergeCell ref="B2:H2"/>
    <mergeCell ref="B16:H16"/>
    <mergeCell ref="B17:H18"/>
    <mergeCell ref="B33:H34"/>
    <mergeCell ref="B25:H26"/>
    <mergeCell ref="B20:H20"/>
    <mergeCell ref="B21:H22"/>
    <mergeCell ref="B5:H6"/>
    <mergeCell ref="B28:H28"/>
    <mergeCell ref="B29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2026-06-22T07:02:22Z</dcterms:created>
  <dcterms:modified xmlns:dcterms="http://purl.org/dc/terms/" xmlns:xsi="http://www.w3.org/2001/XMLSchema-instance" xsi:type="dcterms:W3CDTF">2026-06-22T07:02:22Z</dcterms:modified>
</cp:coreProperties>
</file>