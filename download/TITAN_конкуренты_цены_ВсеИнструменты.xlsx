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Цены было-стало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₽"/>
    <numFmt numFmtId="165" formatCode="+#,##0 ₽;-#,##0 ₽;0 ₽"/>
    <numFmt numFmtId="166" formatCode="+0%;-0%;0%"/>
  </numFmts>
  <fonts count="8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b val="1"/>
      <color rgb="001A1F36"/>
      <sz val="10"/>
    </font>
    <font>
      <name val="Arial"/>
      <color rgb="001A1F36"/>
      <sz val="10"/>
    </font>
    <font>
      <name val="Arial"/>
      <color rgb="006B7280"/>
      <sz val="9"/>
    </font>
    <font>
      <name val="Arial"/>
      <b val="1"/>
      <color rgb="001E3A5F"/>
      <sz val="11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F3C7"/>
      </patternFill>
    </fill>
    <fill>
      <patternFill patternType="solid">
        <fgColor rgb="00FEF9C3"/>
      </patternFill>
    </fill>
    <fill>
      <patternFill patternType="solid">
        <fgColor rgb="00DBEAFE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 vertical="center" wrapText="1"/>
    </xf>
    <xf numFmtId="164" fontId="4" fillId="4" borderId="1" applyAlignment="1" pivotButton="0" quotePrefix="0" xfId="0">
      <alignment horizontal="right" vertical="center" wrapText="1"/>
    </xf>
    <xf numFmtId="165" fontId="4" fillId="3" borderId="1" applyAlignment="1" pivotButton="0" quotePrefix="0" xfId="0">
      <alignment horizontal="right" vertical="center" wrapText="1"/>
    </xf>
    <xf numFmtId="166" fontId="4" fillId="3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right" vertical="center" wrapText="1"/>
    </xf>
    <xf numFmtId="165" fontId="4" fillId="5" borderId="1" applyAlignment="1" pivotButton="0" quotePrefix="0" xfId="0">
      <alignment horizontal="right" vertical="center" wrapText="1"/>
    </xf>
    <xf numFmtId="166" fontId="4" fillId="5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right" vertical="center" wrapText="1"/>
    </xf>
    <xf numFmtId="165" fontId="4" fillId="6" borderId="1" applyAlignment="1" pivotButton="0" quotePrefix="0" xfId="0">
      <alignment horizontal="right" vertical="center" wrapText="1"/>
    </xf>
    <xf numFmtId="166" fontId="4" fillId="6" borderId="1" applyAlignment="1" pivotButton="0" quotePrefix="0" xfId="0">
      <alignment horizontal="right" vertical="center" wrapText="1"/>
    </xf>
    <xf numFmtId="0" fontId="6" fillId="6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164" fontId="3" fillId="2" borderId="1" applyAlignment="1" pivotButton="0" quotePrefix="0" xfId="0">
      <alignment horizontal="right" vertical="center" wrapText="1"/>
    </xf>
    <xf numFmtId="165" fontId="3" fillId="2" borderId="1" applyAlignment="1" pivotButton="0" quotePrefix="0" xfId="0">
      <alignment horizontal="right" vertical="center" wrapText="1"/>
    </xf>
    <xf numFmtId="166" fontId="3" fillId="2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right" vertical="center" wrapText="1"/>
    </xf>
    <xf numFmtId="165" fontId="7" fillId="3" borderId="1" applyAlignment="1" pivotButton="0" quotePrefix="0" xfId="0">
      <alignment horizontal="right" vertical="center" wrapText="1"/>
    </xf>
    <xf numFmtId="166" fontId="7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50" customWidth="1" min="4" max="4"/>
    <col width="14" customWidth="1" min="5" max="5"/>
    <col width="18" customWidth="1" min="6" max="6"/>
    <col width="14" customWidth="1" min="7" max="7"/>
    <col width="14" customWidth="1" min="8" max="8"/>
    <col width="12" customWidth="1" min="9" max="9"/>
    <col width="10" customWidth="1" min="10" max="10"/>
    <col width="35" customWidth="1" min="11" max="11"/>
  </cols>
  <sheetData>
    <row r="1" ht="25" customHeight="1">
      <c r="A1" s="1" t="inlineStr">
        <is>
          <t>TITAN — конкурентное окружение: цены ВсеПлитрументы.ру (было / стало)</t>
        </is>
      </c>
    </row>
    <row r="2" ht="30" customHeight="1">
      <c r="A2" s="2" t="inlineStr">
        <is>
          <t>Источник «было»: презентация «TITAN 10.06.2026_грунт-эмаль.pptx», слайды 11-13. Колонка «стало» — заполнить актуальными ценами с vseinstrumenti.ru. Цены — за 1 шт. в рознице, с НДС.</t>
        </is>
      </c>
    </row>
    <row r="4" ht="50" customHeight="1">
      <c r="A4" s="3" t="inlineStr">
        <is>
          <t>№</t>
        </is>
      </c>
      <c r="B4" s="3" t="inlineStr">
        <is>
          <t>Категория TITAN</t>
        </is>
      </c>
      <c r="C4" s="3" t="inlineStr">
        <is>
          <t>Бренд</t>
        </is>
      </c>
      <c r="D4" s="3" t="inlineStr">
        <is>
          <t>Продукт</t>
        </is>
      </c>
      <c r="E4" s="3" t="inlineStr">
        <is>
          <t>Объём</t>
        </is>
      </c>
      <c r="F4" s="3" t="inlineStr">
        <is>
          <t>RAL / цвет</t>
        </is>
      </c>
      <c r="G4" s="3" t="inlineStr">
        <is>
          <t>Цена 10.06.2026 (₽)</t>
        </is>
      </c>
      <c r="H4" s="3" t="inlineStr">
        <is>
          <t>Цена актуальная (₽)</t>
        </is>
      </c>
      <c r="I4" s="3" t="inlineStr">
        <is>
          <t>Δ цены (₽)</t>
        </is>
      </c>
      <c r="J4" s="3" t="inlineStr">
        <is>
          <t>Δ цены (%)</t>
        </is>
      </c>
      <c r="K4" s="3" t="inlineStr">
        <is>
          <t>Поисковый запрос для vseinstrumenti.ru</t>
        </is>
      </c>
    </row>
    <row r="5">
      <c r="A5" s="4" t="n">
        <v>1</v>
      </c>
      <c r="B5" s="5" t="inlineStr">
        <is>
          <t>3в1 по ржавчине (глянцевая)</t>
        </is>
      </c>
      <c r="C5" s="6" t="inlineStr">
        <is>
          <t>TITAN</t>
        </is>
      </c>
      <c r="D5" s="5" t="inlineStr">
        <is>
          <t>Грунт-эмаль по ржавчине Empils ОРЕОЛ TITAN чёрный RAL 9005</t>
        </is>
      </c>
      <c r="E5" s="7" t="inlineStr">
        <is>
          <t>0.75 л (0.75 кг)</t>
        </is>
      </c>
      <c r="F5" s="7" t="inlineStr">
        <is>
          <t>RAL 9005 (чёрный)</t>
        </is>
      </c>
      <c r="G5" s="8" t="n">
        <v>872</v>
      </c>
      <c r="H5" s="9" t="n">
        <v>905</v>
      </c>
      <c r="I5" s="10">
        <f>IF(H5="","",H5-G5)</f>
        <v/>
      </c>
      <c r="J5" s="11">
        <f>IF(H5="","",IF(G5=0,"",(H5-G5)/G5))</f>
        <v/>
      </c>
      <c r="K5" s="12" t="inlineStr">
        <is>
          <t>ОРЕОЛ TITAN чёрный RAL 9005 0.75</t>
        </is>
      </c>
    </row>
    <row r="6">
      <c r="A6" s="13" t="n">
        <v>2</v>
      </c>
      <c r="B6" s="14" t="inlineStr">
        <is>
          <t>3в1 по ржавчине (глянцевая)</t>
        </is>
      </c>
      <c r="C6" s="14" t="inlineStr">
        <is>
          <t>Elcon</t>
        </is>
      </c>
      <c r="D6" s="14" t="inlineStr">
        <is>
          <t>Грунт-эмаль 3 в 1 Elcon глянцевая чёрная RAL 9005</t>
        </is>
      </c>
      <c r="E6" s="15" t="inlineStr">
        <is>
          <t>0.8 кг</t>
        </is>
      </c>
      <c r="F6" s="15" t="inlineStr">
        <is>
          <t>RAL 9005 (чёрный)</t>
        </is>
      </c>
      <c r="G6" s="16" t="n">
        <v>958</v>
      </c>
      <c r="H6" s="9" t="n">
        <v>963</v>
      </c>
      <c r="I6" s="17">
        <f>IF(H6="","",H6-G6)</f>
        <v/>
      </c>
      <c r="J6" s="18">
        <f>IF(H6="","",IF(G6=0,"",(H6-G6)/G6))</f>
        <v/>
      </c>
      <c r="K6" s="19" t="inlineStr">
        <is>
          <t>Elcon грунт-эмаль 3 в 1 глянцевая RAL 9005 0.8 кг</t>
        </is>
      </c>
    </row>
    <row r="7">
      <c r="A7" s="20" t="n">
        <v>3</v>
      </c>
      <c r="B7" s="21" t="inlineStr">
        <is>
          <t>3в1 по ржавчине (глянцевая)</t>
        </is>
      </c>
      <c r="C7" s="21" t="inlineStr">
        <is>
          <t>Dufa</t>
        </is>
      </c>
      <c r="D7" s="21" t="inlineStr">
        <is>
          <t>Грунт-эмаль Dufa CORREX 3 в 1 для металла по ржавчине RAL 9005</t>
        </is>
      </c>
      <c r="E7" s="22" t="inlineStr">
        <is>
          <t>0.75 л</t>
        </is>
      </c>
      <c r="F7" s="22" t="inlineStr">
        <is>
          <t>RAL 9005 (чёрный)</t>
        </is>
      </c>
      <c r="G7" s="23" t="n">
        <v>1020</v>
      </c>
      <c r="H7" s="9" t="n">
        <v>1040</v>
      </c>
      <c r="I7" s="24">
        <f>IF(H7="","",H7-G7)</f>
        <v/>
      </c>
      <c r="J7" s="25">
        <f>IF(H7="","",IF(G7=0,"",(H7-G7)/G7))</f>
        <v/>
      </c>
      <c r="K7" s="26" t="inlineStr">
        <is>
          <t>Dufa CORREX 3 в 1 RAL 9005 0.75</t>
        </is>
      </c>
    </row>
    <row r="8">
      <c r="A8" s="13" t="n">
        <v>4</v>
      </c>
      <c r="B8" s="14" t="inlineStr">
        <is>
          <t>3в1 по ржавчине (глянцевая)</t>
        </is>
      </c>
      <c r="C8" s="14" t="inlineStr">
        <is>
          <t>Dali</t>
        </is>
      </c>
      <c r="D8" s="14" t="inlineStr">
        <is>
          <t>Грунт-эмаль по ржавчине Dali 3 в 1, чёрная RAL 9005</t>
        </is>
      </c>
      <c r="E8" s="15" t="inlineStr">
        <is>
          <t>0.75 л</t>
        </is>
      </c>
      <c r="F8" s="15" t="inlineStr">
        <is>
          <t>RAL 9005 (чёрный)</t>
        </is>
      </c>
      <c r="G8" s="16" t="n">
        <v>1055</v>
      </c>
      <c r="H8" s="9" t="n">
        <v>1143</v>
      </c>
      <c r="I8" s="17">
        <f>IF(H8="","",H8-G8)</f>
        <v/>
      </c>
      <c r="J8" s="18">
        <f>IF(H8="","",IF(G8=0,"",(H8-G8)/G8))</f>
        <v/>
      </c>
      <c r="K8" s="19" t="inlineStr">
        <is>
          <t>Dali 3 в 1 грунт-эмаль RAL 9005 0.75</t>
        </is>
      </c>
    </row>
    <row r="9">
      <c r="A9" s="20" t="n">
        <v>5</v>
      </c>
      <c r="B9" s="21" t="inlineStr">
        <is>
          <t>3в1 по ржавчине (глянцевая)</t>
        </is>
      </c>
      <c r="C9" s="21" t="inlineStr">
        <is>
          <t>HUSKY KLONDIKE</t>
        </is>
      </c>
      <c r="D9" s="21" t="inlineStr">
        <is>
          <t>Краска по металлу HUSKY KLONDIKE глянцевая, чёрная, RAL 9005</t>
        </is>
      </c>
      <c r="E9" s="22" t="inlineStr">
        <is>
          <t>0.9 л</t>
        </is>
      </c>
      <c r="F9" s="22" t="inlineStr">
        <is>
          <t>RAL 9005 (чёрный)</t>
        </is>
      </c>
      <c r="G9" s="23" t="n">
        <v>1153</v>
      </c>
      <c r="H9" s="9" t="n">
        <v>953</v>
      </c>
      <c r="I9" s="24">
        <f>IF(H9="","",H9-G9)</f>
        <v/>
      </c>
      <c r="J9" s="25">
        <f>IF(H9="","",IF(G9=0,"",(H9-G9)/G9))</f>
        <v/>
      </c>
      <c r="K9" s="26" t="inlineStr">
        <is>
          <t>HUSKY KLONDIKE краска по металлу RAL 9005 0.9</t>
        </is>
      </c>
    </row>
    <row r="10">
      <c r="A10" s="13" t="n">
        <v>6</v>
      </c>
      <c r="B10" s="14" t="inlineStr">
        <is>
          <t>3в1 по ржавчине (глянцевая)</t>
        </is>
      </c>
      <c r="C10" s="14" t="inlineStr">
        <is>
          <t>Tikkurila</t>
        </is>
      </c>
      <c r="D10" s="14" t="inlineStr">
        <is>
          <t>Краска для металла Tikkurila METALLISTA по ржавчине 3 в 1, чёрная</t>
        </is>
      </c>
      <c r="E10" s="15" t="inlineStr">
        <is>
          <t>0.8 л</t>
        </is>
      </c>
      <c r="F10" s="15" t="inlineStr">
        <is>
          <t>чёрный</t>
        </is>
      </c>
      <c r="G10" s="16" t="n">
        <v>2085</v>
      </c>
      <c r="H10" s="9" t="n">
        <v>1599</v>
      </c>
      <c r="I10" s="17">
        <f>IF(H10="","",H10-G10)</f>
        <v/>
      </c>
      <c r="J10" s="18">
        <f>IF(H10="","",IF(G10=0,"",(H10-G10)/G10))</f>
        <v/>
      </c>
      <c r="K10" s="19" t="inlineStr">
        <is>
          <t>Tikkurila METALLISTA 3 в 1 0.8 чёрная</t>
        </is>
      </c>
    </row>
    <row r="11">
      <c r="A11" s="20" t="n">
        <v>7</v>
      </c>
      <c r="B11" s="21" t="inlineStr">
        <is>
          <t>Быстросохнущая (матовая)</t>
        </is>
      </c>
      <c r="C11" s="21" t="inlineStr">
        <is>
          <t>Новбытхим</t>
        </is>
      </c>
      <c r="D11" s="21" t="inlineStr">
        <is>
          <t>Грунт-эмаль 5 в 1 Новбытхим, серый, RAL 7040</t>
        </is>
      </c>
      <c r="E11" s="22" t="inlineStr">
        <is>
          <t>0.75 л</t>
        </is>
      </c>
      <c r="F11" s="22" t="inlineStr">
        <is>
          <t>RAL 7040 (серый)</t>
        </is>
      </c>
      <c r="G11" s="23" t="n">
        <v>765</v>
      </c>
      <c r="H11" s="9" t="n">
        <v>1168</v>
      </c>
      <c r="I11" s="24">
        <f>IF(H11="","",H11-G11)</f>
        <v/>
      </c>
      <c r="J11" s="25">
        <f>IF(H11="","",IF(G11=0,"",(H11-G11)/G11))</f>
        <v/>
      </c>
      <c r="K11" s="26" t="inlineStr">
        <is>
          <t>Новбытхим грунт-эмаль 5 в 1 RAL 7040 0.75</t>
        </is>
      </c>
    </row>
    <row r="12">
      <c r="A12" s="4" t="n">
        <v>8</v>
      </c>
      <c r="B12" s="5" t="inlineStr">
        <is>
          <t>Быстросохнущая (матовая)</t>
        </is>
      </c>
      <c r="C12" s="6" t="inlineStr">
        <is>
          <t>TITAN</t>
        </is>
      </c>
      <c r="D12" s="5" t="inlineStr">
        <is>
          <t>Грунт-эмаль быстросохнущая ОРЕОЛ TITAN матовая серая</t>
        </is>
      </c>
      <c r="E12" s="7" t="inlineStr">
        <is>
          <t>0.75 л (0.9 кг)</t>
        </is>
      </c>
      <c r="F12" s="7" t="inlineStr">
        <is>
          <t>серый</t>
        </is>
      </c>
      <c r="G12" s="8" t="n">
        <v>765</v>
      </c>
      <c r="H12" s="9" t="n">
        <v>956</v>
      </c>
      <c r="I12" s="10">
        <f>IF(H12="","",H12-G12)</f>
        <v/>
      </c>
      <c r="J12" s="11">
        <f>IF(H12="","",IF(G12=0,"",(H12-G12)/G12))</f>
        <v/>
      </c>
      <c r="K12" s="12" t="inlineStr">
        <is>
          <t>ОРЕОЛ TITAN быстросохнущая матовая серая 0.75</t>
        </is>
      </c>
    </row>
    <row r="13">
      <c r="A13" s="20" t="n">
        <v>9</v>
      </c>
      <c r="B13" s="21" t="inlineStr">
        <is>
          <t>Быстросохнущая (матовая)</t>
        </is>
      </c>
      <c r="C13" s="21" t="inlineStr">
        <is>
          <t>Elcon</t>
        </is>
      </c>
      <c r="D13" s="21" t="inlineStr">
        <is>
          <t>Быстросохнущая грунт-эмаль по металлу Elcon 3 в 1 по ржавчине, матовая, серая</t>
        </is>
      </c>
      <c r="E13" s="22" t="inlineStr">
        <is>
          <t>0.8 кг</t>
        </is>
      </c>
      <c r="F13" s="22" t="inlineStr">
        <is>
          <t>серый</t>
        </is>
      </c>
      <c r="G13" s="23" t="n">
        <v>838</v>
      </c>
      <c r="H13" s="9" t="n">
        <v>875</v>
      </c>
      <c r="I13" s="24">
        <f>IF(H13="","",H13-G13)</f>
        <v/>
      </c>
      <c r="J13" s="25">
        <f>IF(H13="","",IF(G13=0,"",(H13-G13)/G13))</f>
        <v/>
      </c>
      <c r="K13" s="26" t="inlineStr">
        <is>
          <t>Elcon быстросохнущая 3 в 1 матовая серая 0.8</t>
        </is>
      </c>
    </row>
    <row r="14">
      <c r="A14" s="13" t="n">
        <v>10</v>
      </c>
      <c r="B14" s="14" t="inlineStr">
        <is>
          <t>Быстросохнущая (матовая)</t>
        </is>
      </c>
      <c r="C14" s="14" t="inlineStr">
        <is>
          <t>Лакра</t>
        </is>
      </c>
      <c r="D14" s="14" t="inlineStr">
        <is>
          <t>Грунт-эмаль по ржавчине ЛАКРА PROF IT 4 в 1, быстросохнущая, графит, RAL 7024</t>
        </is>
      </c>
      <c r="E14" s="15" t="inlineStr">
        <is>
          <t>0.8 кг</t>
        </is>
      </c>
      <c r="F14" s="15" t="inlineStr">
        <is>
          <t>RAL 7024 (графит)</t>
        </is>
      </c>
      <c r="G14" s="16" t="n">
        <v>906</v>
      </c>
      <c r="H14" s="9" t="inlineStr"/>
      <c r="I14" s="17">
        <f>IF(H14="","",H14-G14)</f>
        <v/>
      </c>
      <c r="J14" s="18">
        <f>IF(H14="","",IF(G14=0,"",(H14-G14)/G14))</f>
        <v/>
      </c>
      <c r="K14" s="19" t="inlineStr">
        <is>
          <t>Лакра PROF IT 4 в 1 быстросохнущая RAL 7024 0.8</t>
        </is>
      </c>
    </row>
    <row r="15">
      <c r="A15" s="20" t="n">
        <v>11</v>
      </c>
      <c r="B15" s="21" t="inlineStr">
        <is>
          <t>Молотковая</t>
        </is>
      </c>
      <c r="C15" s="21" t="inlineStr">
        <is>
          <t>Dali</t>
        </is>
      </c>
      <c r="D15" s="21" t="inlineStr">
        <is>
          <t>Грунт-эмаль по ржавчине Dali 3 в 1 молотковая золотистая</t>
        </is>
      </c>
      <c r="E15" s="22" t="inlineStr">
        <is>
          <t>0.75 л</t>
        </is>
      </c>
      <c r="F15" s="22" t="inlineStr">
        <is>
          <t>золотистый</t>
        </is>
      </c>
      <c r="G15" s="23" t="n">
        <v>1057</v>
      </c>
      <c r="H15" s="9" t="n">
        <v>1157</v>
      </c>
      <c r="I15" s="24">
        <f>IF(H15="","",H15-G15)</f>
        <v/>
      </c>
      <c r="J15" s="25">
        <f>IF(H15="","",IF(G15=0,"",(H15-G15)/G15))</f>
        <v/>
      </c>
      <c r="K15" s="26" t="inlineStr">
        <is>
          <t>Dali молотковая золотистая 3 в 1 0.75</t>
        </is>
      </c>
    </row>
    <row r="16">
      <c r="A16" s="13" t="n">
        <v>12</v>
      </c>
      <c r="B16" s="14" t="inlineStr">
        <is>
          <t>Молотковая</t>
        </is>
      </c>
      <c r="C16" s="14" t="inlineStr">
        <is>
          <t>Elcon</t>
        </is>
      </c>
      <c r="D16" s="14" t="inlineStr">
        <is>
          <t>Кузнечная краска с молотковым эффектом Elcon золото</t>
        </is>
      </c>
      <c r="E16" s="15" t="inlineStr">
        <is>
          <t>0.8 кг</t>
        </is>
      </c>
      <c r="F16" s="15" t="inlineStr">
        <is>
          <t>золото</t>
        </is>
      </c>
      <c r="G16" s="16" t="n">
        <v>1097</v>
      </c>
      <c r="H16" s="9" t="n">
        <v>1344</v>
      </c>
      <c r="I16" s="17">
        <f>IF(H16="","",H16-G16)</f>
        <v/>
      </c>
      <c r="J16" s="18">
        <f>IF(H16="","",IF(G16=0,"",(H16-G16)/G16))</f>
        <v/>
      </c>
      <c r="K16" s="19" t="inlineStr">
        <is>
          <t>Elcon кузнечная краска молотковая золото 0.8</t>
        </is>
      </c>
    </row>
    <row r="17">
      <c r="A17" s="20" t="n">
        <v>13</v>
      </c>
      <c r="B17" s="21" t="inlineStr">
        <is>
          <t>Молотковая</t>
        </is>
      </c>
      <c r="C17" s="21" t="inlineStr">
        <is>
          <t>HUSKY KLONDIKE</t>
        </is>
      </c>
      <c r="D17" s="21" t="inlineStr">
        <is>
          <t>Краска по металлу с молотковым эффектом HUSKY KLONDIKE золото</t>
        </is>
      </c>
      <c r="E17" s="22" t="inlineStr">
        <is>
          <t>0.9 л</t>
        </is>
      </c>
      <c r="F17" s="22" t="inlineStr">
        <is>
          <t>золото</t>
        </is>
      </c>
      <c r="G17" s="23" t="n">
        <v>1196</v>
      </c>
      <c r="H17" s="9" t="n">
        <v>1719</v>
      </c>
      <c r="I17" s="24">
        <f>IF(H17="","",H17-G17)</f>
        <v/>
      </c>
      <c r="J17" s="25">
        <f>IF(H17="","",IF(G17=0,"",(H17-G17)/G17))</f>
        <v/>
      </c>
      <c r="K17" s="26" t="inlineStr">
        <is>
          <t>HUSKY KLONDIKE молотковая золото 0.9</t>
        </is>
      </c>
    </row>
    <row r="18">
      <c r="A18" s="4" t="n">
        <v>14</v>
      </c>
      <c r="B18" s="5" t="inlineStr">
        <is>
          <t>Молотковая</t>
        </is>
      </c>
      <c r="C18" s="6" t="inlineStr">
        <is>
          <t>TITAN</t>
        </is>
      </c>
      <c r="D18" s="5" t="inlineStr">
        <is>
          <t>Эмаль с молотковым эффектом Titan алкидно-стирольная, золотистая</t>
        </is>
      </c>
      <c r="E18" s="7" t="inlineStr">
        <is>
          <t>0.8 кг</t>
        </is>
      </c>
      <c r="F18" s="7" t="inlineStr">
        <is>
          <t>золотистый</t>
        </is>
      </c>
      <c r="G18" s="8" t="n">
        <v>1308</v>
      </c>
      <c r="H18" s="9" t="n">
        <v>1294</v>
      </c>
      <c r="I18" s="10">
        <f>IF(H18="","",H18-G18)</f>
        <v/>
      </c>
      <c r="J18" s="11">
        <f>IF(H18="","",IF(G18=0,"",(H18-G18)/G18))</f>
        <v/>
      </c>
      <c r="K18" s="12" t="inlineStr">
        <is>
          <t>TITAN молотковая алкидно-стирольная золотистая 0.8</t>
        </is>
      </c>
    </row>
    <row r="19">
      <c r="A19" s="20" t="n">
        <v>15</v>
      </c>
      <c r="B19" s="21" t="inlineStr">
        <is>
          <t>Молотковая</t>
        </is>
      </c>
      <c r="C19" s="21" t="inlineStr">
        <is>
          <t>Лакра</t>
        </is>
      </c>
      <c r="D19" s="21" t="inlineStr">
        <is>
          <t>Эмаль с молотковым эффектом Лакра золото</t>
        </is>
      </c>
      <c r="E19" s="22" t="inlineStr">
        <is>
          <t>0.8 кг</t>
        </is>
      </c>
      <c r="F19" s="22" t="inlineStr">
        <is>
          <t>золото</t>
        </is>
      </c>
      <c r="G19" s="23" t="n">
        <v>1341</v>
      </c>
      <c r="H19" s="9" t="n">
        <v>1141</v>
      </c>
      <c r="I19" s="24">
        <f>IF(H19="","",H19-G19)</f>
        <v/>
      </c>
      <c r="J19" s="25">
        <f>IF(H19="","",IF(G19=0,"",(H19-G19)/G19))</f>
        <v/>
      </c>
      <c r="K19" s="26" t="inlineStr">
        <is>
          <t>Лакра молотковая золото 0.8</t>
        </is>
      </c>
    </row>
    <row r="20">
      <c r="A20" s="13" t="n">
        <v>16</v>
      </c>
      <c r="B20" s="14" t="inlineStr">
        <is>
          <t>Молотковая</t>
        </is>
      </c>
      <c r="C20" s="14" t="inlineStr">
        <is>
          <t>Dufa</t>
        </is>
      </c>
      <c r="D20" s="14" t="inlineStr">
        <is>
          <t>Эмаль Dufa Premium HAMMERLACK молотковая, золотая</t>
        </is>
      </c>
      <c r="E20" s="15" t="inlineStr">
        <is>
          <t>0.75 л (750 мл)</t>
        </is>
      </c>
      <c r="F20" s="15" t="inlineStr">
        <is>
          <t>золотая</t>
        </is>
      </c>
      <c r="G20" s="16" t="n">
        <v>1653</v>
      </c>
      <c r="H20" s="9" t="n">
        <v>1210</v>
      </c>
      <c r="I20" s="17">
        <f>IF(H20="","",H20-G20)</f>
        <v/>
      </c>
      <c r="J20" s="18">
        <f>IF(H20="","",IF(G20=0,"",(H20-G20)/G20))</f>
        <v/>
      </c>
      <c r="K20" s="19" t="inlineStr">
        <is>
          <t>Dufa Premium HAMMERLACK молотковая золотая 750 мл</t>
        </is>
      </c>
    </row>
    <row r="21">
      <c r="A21" s="27" t="inlineStr">
        <is>
          <t>СРЕДНЯЯ ЦЕНА ПО ВСЕМ SKU</t>
        </is>
      </c>
      <c r="B21" s="38" t="n"/>
      <c r="C21" s="38" t="n"/>
      <c r="D21" s="38" t="n"/>
      <c r="E21" s="38" t="n"/>
      <c r="F21" s="39" t="n"/>
      <c r="G21" s="28">
        <f>AVERAGE(G5:G20)</f>
        <v/>
      </c>
      <c r="H21" s="28">
        <f>IFERROR(AVERAGE(H5:H20),"—")</f>
        <v/>
      </c>
      <c r="I21" s="29">
        <f>IF(H21="—","",H21-G21)</f>
        <v/>
      </c>
      <c r="J21" s="30">
        <f>IF(H21="—","",IF(G21=0,"",(H21-G21)/G21))</f>
        <v/>
      </c>
      <c r="K21" s="31" t="inlineStr"/>
    </row>
    <row r="22">
      <c r="A22" s="32" t="inlineStr">
        <is>
          <t>СРЕДНЯЯ ЦЕНА TITAN (3 SKU)</t>
        </is>
      </c>
      <c r="B22" s="38" t="n"/>
      <c r="C22" s="38" t="n"/>
      <c r="D22" s="38" t="n"/>
      <c r="E22" s="38" t="n"/>
      <c r="F22" s="39" t="n"/>
      <c r="G22" s="33">
        <f>AVERAGE(G5,G12,G18)</f>
        <v/>
      </c>
      <c r="H22" s="33">
        <f>IFERROR(AVERAGE(H5,H12,H18),"—")</f>
        <v/>
      </c>
      <c r="I22" s="34">
        <f>IF(H22="—","",H22-G22)</f>
        <v/>
      </c>
      <c r="J22" s="35">
        <f>IF(H22="—","",IF(G22=0,"",(H22-G22)/G22))</f>
        <v/>
      </c>
      <c r="K22" s="7" t="inlineStr"/>
    </row>
  </sheetData>
  <mergeCells count="4">
    <mergeCell ref="A2:K2"/>
    <mergeCell ref="A21:F21"/>
    <mergeCell ref="A1:K1"/>
    <mergeCell ref="A22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5" customHeight="1">
      <c r="A1" s="36" t="inlineStr">
        <is>
          <t>Как заполнить колонку «Цена актуальная»</t>
        </is>
      </c>
    </row>
    <row r="3">
      <c r="A3" s="37" t="inlineStr">
        <is>
          <t>Шаг 1.</t>
        </is>
      </c>
      <c r="B3" s="21" t="inlineStr">
        <is>
          <t>Откройте сайт https://vseinstrumenti.ru/ в браузере</t>
        </is>
      </c>
      <c r="C3" s="38" t="n"/>
      <c r="D3" s="38" t="n"/>
      <c r="E3" s="38" t="n"/>
      <c r="F3" s="39" t="n"/>
    </row>
    <row r="4">
      <c r="A4" s="37" t="inlineStr">
        <is>
          <t>Шаг 2.</t>
        </is>
      </c>
      <c r="B4" s="21" t="inlineStr">
        <is>
          <t>В поиске введите текст из колонки «Поисковый запрос» (последняя колонка таблицы)</t>
        </is>
      </c>
      <c r="C4" s="38" t="n"/>
      <c r="D4" s="38" t="n"/>
      <c r="E4" s="38" t="n"/>
      <c r="F4" s="39" t="n"/>
    </row>
    <row r="5">
      <c r="A5" s="37" t="inlineStr">
        <is>
          <t>Шаг 3.</t>
        </is>
      </c>
      <c r="B5" s="21" t="inlineStr">
        <is>
          <t>Найдите в выдаче товар, совпадающий по бренду, объёму и цвету</t>
        </is>
      </c>
      <c r="C5" s="38" t="n"/>
      <c r="D5" s="38" t="n"/>
      <c r="E5" s="38" t="n"/>
      <c r="F5" s="39" t="n"/>
    </row>
    <row r="6">
      <c r="A6" s="37" t="inlineStr">
        <is>
          <t>Шаг 4.</t>
        </is>
      </c>
      <c r="B6" s="21" t="inlineStr">
        <is>
          <t>Скопируйте цену (за 1 шт., с НДС, без учёта акций) в колонку «Цена актуальная (₽)»</t>
        </is>
      </c>
      <c r="C6" s="38" t="n"/>
      <c r="D6" s="38" t="n"/>
      <c r="E6" s="38" t="n"/>
      <c r="F6" s="39" t="n"/>
    </row>
    <row r="7">
      <c r="A7" s="37" t="inlineStr">
        <is>
          <t>Шаг 5.</t>
        </is>
      </c>
      <c r="B7" s="21" t="inlineStr">
        <is>
          <t>Δ цены и Δ % посчитаются автоматически по формуле</t>
        </is>
      </c>
      <c r="C7" s="38" t="n"/>
      <c r="D7" s="38" t="n"/>
      <c r="E7" s="38" t="n"/>
      <c r="F7" s="39" t="n"/>
    </row>
    <row r="8">
      <c r="A8" s="37" t="inlineStr"/>
      <c r="B8" s="21" t="inlineStr"/>
      <c r="C8" s="38" t="n"/>
      <c r="D8" s="38" t="n"/>
      <c r="E8" s="38" t="n"/>
      <c r="F8" s="39" t="n"/>
    </row>
    <row r="9">
      <c r="A9" s="37" t="inlineStr">
        <is>
          <t>⚠️ Важно:</t>
        </is>
      </c>
      <c r="B9" s="21" t="inlineStr">
        <is>
          <t>Если товара нет в наличии — отметьте в колонке «Заметки» (на этом листе нет, можно добавить)</t>
        </is>
      </c>
      <c r="C9" s="38" t="n"/>
      <c r="D9" s="38" t="n"/>
      <c r="E9" s="38" t="n"/>
      <c r="F9" s="39" t="n"/>
    </row>
    <row r="10">
      <c r="A10" s="37" t="inlineStr">
        <is>
          <t>⚠️ Важно:</t>
        </is>
      </c>
      <c r="B10" s="21" t="inlineStr">
        <is>
          <t>Если цена акционная (со скидкой) — берите обычную цену, а не акционную</t>
        </is>
      </c>
      <c r="C10" s="38" t="n"/>
      <c r="D10" s="38" t="n"/>
      <c r="E10" s="38" t="n"/>
      <c r="F10" s="39" t="n"/>
    </row>
    <row r="11">
      <c r="A11" s="37" t="inlineStr">
        <is>
          <t>⚠️ Важно:</t>
        </is>
      </c>
      <c r="B11" s="21" t="inlineStr">
        <is>
          <t>Если у TITAN цена изменилась — это тоже вносим, не только у конкурентов</t>
        </is>
      </c>
      <c r="C11" s="38" t="n"/>
      <c r="D11" s="38" t="n"/>
      <c r="E11" s="38" t="n"/>
      <c r="F11" s="39" t="n"/>
    </row>
    <row r="12">
      <c r="A12" s="37" t="inlineStr">
        <is>
          <t>⚠️ Важно:</t>
        </is>
      </c>
      <c r="B12" s="21" t="inlineStr">
        <is>
          <t>Все цены — за 1 шт., не за набор и не за упаковку</t>
        </is>
      </c>
      <c r="C12" s="38" t="n"/>
      <c r="D12" s="38" t="n"/>
      <c r="E12" s="38" t="n"/>
      <c r="F12" s="39" t="n"/>
    </row>
    <row r="13">
      <c r="A13" s="37" t="inlineStr"/>
      <c r="B13" s="21" t="inlineStr"/>
      <c r="C13" s="38" t="n"/>
      <c r="D13" s="38" t="n"/>
      <c r="E13" s="38" t="n"/>
      <c r="F13" s="39" t="n"/>
    </row>
    <row r="14">
      <c r="A14" s="37" t="inlineStr">
        <is>
          <t>Срок актуальности:</t>
        </is>
      </c>
      <c r="B14" s="21" t="inlineStr">
        <is>
          <t>Цены собраны 10.06.2026. Новые цены — текущая дата заполнения</t>
        </is>
      </c>
      <c r="C14" s="38" t="n"/>
      <c r="D14" s="38" t="n"/>
      <c r="E14" s="38" t="n"/>
      <c r="F14" s="39" t="n"/>
    </row>
    <row r="15">
      <c r="A15" s="37" t="inlineStr">
        <is>
          <t>Источник:</t>
        </is>
      </c>
      <c r="B15" s="21" t="inlineStr">
        <is>
          <t>Презентация TITAN 10.06.2026_грунт-эмаль.pptx, слайды 11-13</t>
        </is>
      </c>
      <c r="C15" s="38" t="n"/>
      <c r="D15" s="38" t="n"/>
      <c r="E15" s="38" t="n"/>
      <c r="F15" s="39" t="n"/>
    </row>
  </sheetData>
  <mergeCells count="14">
    <mergeCell ref="B4:F4"/>
    <mergeCell ref="B12:F12"/>
    <mergeCell ref="B7:F7"/>
    <mergeCell ref="B6:F6"/>
    <mergeCell ref="B15:F15"/>
    <mergeCell ref="B10:F10"/>
    <mergeCell ref="A1:F1"/>
    <mergeCell ref="B11:F11"/>
    <mergeCell ref="B3:F3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2026-07-23T05:07:52Z</dcterms:created>
  <dcterms:modified xmlns:dcterms="http://purl.org/dc/terms/" xmlns:xsi="http://www.w3.org/2001/XMLSchema-instance" xsi:type="dcterms:W3CDTF">2026-07-23T05:21:32Z</dcterms:modified>
</cp:coreProperties>
</file>