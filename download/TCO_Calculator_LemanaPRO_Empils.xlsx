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Price List" sheetId="2" state="visible" r:id="rId2"/>
    <sheet xmlns:r="http://schemas.openxmlformats.org/officeDocument/2006/relationships" name="Consumption Rates" sheetId="3" state="visible" r:id="rId3"/>
    <sheet xmlns:r="http://schemas.openxmlformats.org/officeDocument/2006/relationships" name="TCO Calculator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Chains Reference" sheetId="6" state="visible" r:id="rId6"/>
    <sheet xmlns:r="http://schemas.openxmlformats.org/officeDocument/2006/relationships" name="Metal Scenarios" sheetId="7" state="visible" r:id="rId7"/>
    <sheet xmlns:r="http://schemas.openxmlformats.org/officeDocument/2006/relationships" name="Methodolog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#,##0.00&quot; RUB&quot;"/>
    <numFmt numFmtId="166" formatCode="#,##0&quot; RUB&quot;"/>
    <numFmt numFmtId="167" formatCode="0.0%"/>
  </numFmts>
  <fonts count="12">
    <font>
      <name val="Calibri"/>
      <family val="2"/>
      <color theme="1"/>
      <sz val="11"/>
      <scheme val="minor"/>
    </font>
    <font>
      <name val="Noto Sans CJK SC"/>
      <color rgb="00B85C1E"/>
      <sz val="16"/>
    </font>
    <font>
      <name val="Noto Sans CJK SC"/>
      <color rgb="00B85C1E"/>
      <sz val="11"/>
    </font>
    <font>
      <name val="Noto Sans CJK SC"/>
      <color rgb="003E2F1F"/>
      <sz val="11"/>
    </font>
    <font>
      <name val="Noto Sans CJK SC"/>
      <color rgb="000000FF"/>
      <sz val="11"/>
    </font>
    <font>
      <name val="Noto Sans CJK SC"/>
      <color rgb="009C8B78"/>
      <sz val="9"/>
    </font>
    <font>
      <name val="Noto Sans CJK SC"/>
      <color rgb="00FFFFFF"/>
      <sz val="11"/>
    </font>
    <font>
      <name val="Noto Sans CJK SC"/>
      <color rgb="001B2A4A"/>
      <sz val="12"/>
    </font>
    <font>
      <name val="Noto Sans CJK SC"/>
      <color rgb="001B7D46"/>
      <sz val="11"/>
    </font>
    <font>
      <name val="Noto Sans CJK SC"/>
      <color rgb="001B7D46"/>
      <sz val="12"/>
    </font>
    <font>
      <name val="Noto Sans CJK SC"/>
      <color rgb="00C0392B"/>
      <sz val="11"/>
    </font>
    <font>
      <name val="Noto Sans CJK SC"/>
      <color rgb="00D4820A"/>
      <sz val="11"/>
    </font>
  </fonts>
  <fills count="9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B85C1E"/>
      </patternFill>
    </fill>
    <fill>
      <patternFill patternType="solid">
        <fgColor rgb="00FFFFFF"/>
      </patternFill>
    </fill>
    <fill>
      <patternFill patternType="solid">
        <fgColor rgb="00F7F2EC"/>
      </patternFill>
    </fill>
    <fill>
      <patternFill patternType="solid">
        <fgColor rgb="00E8F5E9"/>
      </patternFill>
    </fill>
    <fill>
      <patternFill patternType="solid">
        <fgColor rgb="00F5E6D5"/>
      </patternFill>
    </fill>
  </fills>
  <borders count="3">
    <border>
      <left/>
      <right/>
      <top/>
      <bottom/>
      <diagonal/>
    </border>
    <border>
      <bottom style="thin">
        <color rgb="00EAE0D5"/>
      </bottom>
    </border>
    <border>
      <top style="medium">
        <color rgb="00EAE0D5"/>
      </top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applyAlignment="1" pivotButton="0" quotePrefix="0" xfId="0">
      <alignment horizontal="left" vertical="center"/>
    </xf>
    <xf numFmtId="3" fontId="4" fillId="3" borderId="0" applyAlignment="1" pivotButton="0" quotePrefix="0" xfId="0">
      <alignment horizontal="right" vertical="center"/>
    </xf>
    <xf numFmtId="164" fontId="4" fillId="3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165" fontId="3" fillId="5" borderId="0" applyAlignment="1" pivotButton="0" quotePrefix="0" xfId="0">
      <alignment horizontal="right" vertical="center"/>
    </xf>
    <xf numFmtId="0" fontId="3" fillId="6" borderId="0" applyAlignment="1" pivotButton="0" quotePrefix="0" xfId="0">
      <alignment horizontal="right" vertical="center"/>
    </xf>
    <xf numFmtId="0" fontId="3" fillId="6" borderId="0" applyAlignment="1" pivotButton="0" quotePrefix="0" xfId="0">
      <alignment horizontal="left" vertical="center"/>
    </xf>
    <xf numFmtId="165" fontId="3" fillId="6" borderId="0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  <xf numFmtId="3" fontId="3" fillId="6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/>
    </xf>
    <xf numFmtId="0" fontId="3" fillId="0" borderId="0" pivotButton="0" quotePrefix="0" xfId="0"/>
    <xf numFmtId="166" fontId="3" fillId="5" borderId="0" applyAlignment="1" pivotButton="0" quotePrefix="0" xfId="0">
      <alignment horizontal="right" vertical="center"/>
    </xf>
    <xf numFmtId="167" fontId="3" fillId="5" borderId="0" applyAlignment="1" pivotButton="0" quotePrefix="0" xfId="0">
      <alignment horizontal="right" vertical="center"/>
    </xf>
    <xf numFmtId="166" fontId="3" fillId="6" borderId="0" applyAlignment="1" pivotButton="0" quotePrefix="0" xfId="0">
      <alignment horizontal="right" vertical="center"/>
    </xf>
    <xf numFmtId="167" fontId="3" fillId="6" borderId="0" applyAlignment="1" pivotButton="0" quotePrefix="0" xfId="0">
      <alignment horizontal="right" vertical="center"/>
    </xf>
    <xf numFmtId="0" fontId="2" fillId="8" borderId="2" applyAlignment="1" pivotButton="0" quotePrefix="0" xfId="0">
      <alignment horizontal="left" vertical="center"/>
    </xf>
    <xf numFmtId="0" fontId="2" fillId="8" borderId="2" pivotButton="0" quotePrefix="0" xfId="0"/>
    <xf numFmtId="166" fontId="2" fillId="8" borderId="2" applyAlignment="1" pivotButton="0" quotePrefix="0" xfId="0">
      <alignment horizontal="right" vertical="center"/>
    </xf>
    <xf numFmtId="167" fontId="2" fillId="8" borderId="2" applyAlignment="1" pivotButton="0" quotePrefix="0" xfId="0">
      <alignment horizontal="right" vertical="center"/>
    </xf>
    <xf numFmtId="3" fontId="0" fillId="0" borderId="0" pivotButton="0" quotePrefix="0" xfId="0"/>
    <xf numFmtId="0" fontId="10" fillId="5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TCO for 10 years: expensive vs best variant (RUB)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'Summary'!C18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solidFill>
                <a:srgbClr val="C0392B"/>
              </a:solidFill>
              <a:prstDash val="solid"/>
            </a:ln>
          </spPr>
          <cat>
            <numRef>
              <f>'Summary'!$B$19:$B$28</f>
            </numRef>
          </cat>
          <val>
            <numRef>
              <f>'Summary'!$C$19:$C$28</f>
            </numRef>
          </val>
        </ser>
        <ser>
          <idx val="1"/>
          <order val="1"/>
          <tx>
            <strRef>
              <f>'Summary'!D18</f>
            </strRef>
          </tx>
          <spPr>
            <a:solidFill xmlns:a="http://schemas.openxmlformats.org/drawingml/2006/main">
              <a:srgbClr val="1B7D46"/>
            </a:solidFill>
            <a:ln xmlns:a="http://schemas.openxmlformats.org/drawingml/2006/main">
              <a:solidFill>
                <a:srgbClr val="1B7D46"/>
              </a:solidFill>
              <a:prstDash val="solid"/>
            </a:ln>
          </spPr>
          <cat>
            <numRef>
              <f>'Summary'!$B$19:$B$28</f>
            </numRef>
          </cat>
          <val>
            <numRef>
              <f>'Summary'!$D$19:$D$28</f>
            </numRef>
          </val>
        </ser>
        <gapWidth val="80"/>
        <overlap val="1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TCO 
(RUB)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TCO for 10 years: metal scenarios (RUB)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'Metal Scenarios'!C36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'Metal Scenarios'!$B$37:$B$48</f>
            </numRef>
          </cat>
          <val>
            <numRef>
              <f>'Metal Scenarios'!$C$37:$C$48</f>
            </numRef>
          </val>
        </ser>
        <ser>
          <idx val="1"/>
          <order val="1"/>
          <tx>
            <strRef>
              <f>'Metal Scenarios'!D36</f>
            </strRef>
          </tx>
          <spPr>
            <a:solidFill xmlns:a="http://schemas.openxmlformats.org/drawingml/2006/main">
              <a:srgbClr val="1B7D46"/>
            </a:solidFill>
            <a:ln xmlns:a="http://schemas.openxmlformats.org/drawingml/2006/main">
              <a:solidFill>
                <a:srgbClr val="1B7D46"/>
              </a:solidFill>
              <a:prstDash val="solid"/>
            </a:ln>
          </spPr>
          <cat>
            <numRef>
              <f>'Metal Scenarios'!$B$37:$B$48</f>
            </numRef>
          </cat>
          <val>
            <numRef>
              <f>'Metal Scenarios'!$D$37:$D$48</f>
            </numRef>
          </val>
        </ser>
        <ser>
          <idx val="2"/>
          <order val="2"/>
          <tx>
            <strRef>
              <f>'Metal Scenarios'!E36</f>
            </strRef>
          </tx>
          <spPr>
            <a:solidFill xmlns:a="http://schemas.openxmlformats.org/drawingml/2006/main">
              <a:srgbClr val="D4820A"/>
            </a:solidFill>
            <a:ln xmlns:a="http://schemas.openxmlformats.org/drawingml/2006/main">
              <a:solidFill>
                <a:srgbClr val="D4820A"/>
              </a:solidFill>
              <a:prstDash val="solid"/>
            </a:ln>
          </spPr>
          <cat>
            <numRef>
              <f>'Metal Scenarios'!$B$37:$B$48</f>
            </numRef>
          </cat>
          <val>
            <numRef>
              <f>'Metal Scenarios'!$E$37:$E$48</f>
            </numRef>
          </val>
        </ser>
        <gapWidth val="80"/>
        <overlap val="1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TCO 
(RUB)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17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35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6" customWidth="1" min="3" max="3"/>
  </cols>
  <sheetData>
    <row r="1" ht="15" customHeight="1"/>
    <row r="2" ht="32" customHeight="1">
      <c r="B2" s="1" t="inlineStr">
        <is>
          <t>TCO CALCULATOR INPUT PARAMETERS</t>
        </is>
      </c>
    </row>
    <row r="3" ht="8" customHeight="1"/>
    <row r="4">
      <c r="B4" s="2" t="inlineStr">
        <is>
          <t>GENERAL PARAMETERS</t>
        </is>
      </c>
    </row>
    <row r="5" ht="22" customHeight="1">
      <c r="B5" s="3" t="inlineStr">
        <is>
          <t>Calculation horizon (years)</t>
        </is>
      </c>
      <c r="C5" s="4" t="n">
        <v>10</v>
      </c>
    </row>
    <row r="6" ht="22" customHeight="1">
      <c r="B6" s="3" t="inlineStr">
        <is>
          <t>Metal priming rate (RUB/m2)</t>
        </is>
      </c>
      <c r="C6" s="4" t="n">
        <v>250</v>
      </c>
    </row>
    <row r="7" ht="22" customHeight="1">
      <c r="B7" s="3" t="inlineStr">
        <is>
          <t>Metal painting rate (RUB/m2)</t>
        </is>
      </c>
      <c r="C7" s="4" t="n">
        <v>300</v>
      </c>
    </row>
    <row r="8" ht="22" customHeight="1">
      <c r="B8" s="3" t="inlineStr">
        <is>
          <t>VD priming rate (RUB/m2)</t>
        </is>
      </c>
      <c r="C8" s="4" t="n">
        <v>180</v>
      </c>
    </row>
    <row r="9" ht="22" customHeight="1">
      <c r="B9" s="3" t="inlineStr">
        <is>
          <t>VD painting rate (RUB/m2)</t>
        </is>
      </c>
      <c r="C9" s="4" t="n">
        <v>220</v>
      </c>
    </row>
    <row r="10" ht="22" customHeight="1">
      <c r="B10" s="3" t="inlineStr">
        <is>
          <t>Floor painting rate (RUB/m2)</t>
        </is>
      </c>
      <c r="C10" s="4" t="n">
        <v>280</v>
      </c>
    </row>
    <row r="11" ht="22" customHeight="1">
      <c r="B11" s="3" t="inlineStr">
        <is>
          <t>Wood varnishing rate (RUB/m2)</t>
        </is>
      </c>
      <c r="C11" s="4" t="n">
        <v>300</v>
      </c>
    </row>
    <row r="12" ht="22" customHeight="1">
      <c r="B12" s="3" t="inlineStr">
        <is>
          <t>Parquet varnishing rate (RUB/m2)</t>
        </is>
      </c>
      <c r="C12" s="4" t="n">
        <v>350</v>
      </c>
    </row>
    <row r="13" ht="22" customHeight="1">
      <c r="B13" s="3" t="inlineStr">
        <is>
          <t>Radiator painting rate (RUB/m2)</t>
        </is>
      </c>
      <c r="C13" s="4" t="n">
        <v>400</v>
      </c>
    </row>
    <row r="14" ht="22" customHeight="1">
      <c r="B14" s="3" t="inlineStr">
        <is>
          <t>Decorative painting rate (RUB/m2)</t>
        </is>
      </c>
      <c r="C14" s="4" t="n">
        <v>450</v>
      </c>
    </row>
    <row r="16">
      <c r="B16" s="2" t="inlineStr">
        <is>
          <t>TYPICAL OBJECT AREAS (m2)</t>
        </is>
      </c>
    </row>
    <row r="17" ht="22" customHeight="1">
      <c r="B17" s="3" t="inlineStr">
        <is>
          <t>Metal gate</t>
        </is>
      </c>
      <c r="C17" s="5" t="n">
        <v>16</v>
      </c>
    </row>
    <row r="18" ht="22" customHeight="1">
      <c r="B18" s="3" t="inlineStr">
        <is>
          <t>Metal garage</t>
        </is>
      </c>
      <c r="C18" s="5" t="n">
        <v>54</v>
      </c>
    </row>
    <row r="19" ht="22" customHeight="1">
      <c r="B19" s="3" t="inlineStr">
        <is>
          <t>Metal door</t>
        </is>
      </c>
      <c r="C19" s="5" t="n">
        <v>4.4</v>
      </c>
    </row>
    <row r="20" ht="22" customHeight="1">
      <c r="B20" s="3" t="inlineStr">
        <is>
          <t>Metal fence</t>
        </is>
      </c>
      <c r="C20" s="5" t="n">
        <v>30</v>
      </c>
    </row>
    <row r="21" ht="22" customHeight="1">
      <c r="B21" s="3" t="inlineStr">
        <is>
          <t>Pipes / structures</t>
        </is>
      </c>
      <c r="C21" s="5" t="n">
        <v>10</v>
      </c>
    </row>
    <row r="22" ht="22" customHeight="1">
      <c r="B22" s="3" t="inlineStr">
        <is>
          <t>Garage floor (concrete)</t>
        </is>
      </c>
      <c r="C22" s="5" t="n">
        <v>20</v>
      </c>
    </row>
    <row r="23" ht="22" customHeight="1">
      <c r="B23" s="3" t="inlineStr">
        <is>
          <t>Basement floor (concrete)</t>
        </is>
      </c>
      <c r="C23" s="5" t="n">
        <v>15</v>
      </c>
    </row>
    <row r="24" ht="22" customHeight="1">
      <c r="B24" s="3" t="inlineStr">
        <is>
          <t>Warehouse floor (concrete)</t>
        </is>
      </c>
      <c r="C24" s="5" t="n">
        <v>50</v>
      </c>
    </row>
    <row r="25" ht="22" customHeight="1">
      <c r="B25" s="3" t="inlineStr">
        <is>
          <t>Wooden fence</t>
        </is>
      </c>
      <c r="C25" s="5" t="n">
        <v>40</v>
      </c>
    </row>
    <row r="26" ht="22" customHeight="1">
      <c r="B26" s="3" t="inlineStr">
        <is>
          <t>Terrace / balcony</t>
        </is>
      </c>
      <c r="C26" s="5" t="n">
        <v>15</v>
      </c>
    </row>
    <row r="27" ht="22" customHeight="1">
      <c r="B27" s="3" t="inlineStr">
        <is>
          <t>Ceiling</t>
        </is>
      </c>
      <c r="C27" s="5" t="n">
        <v>20</v>
      </c>
    </row>
    <row r="28" ht="22" customHeight="1">
      <c r="B28" s="3" t="inlineStr">
        <is>
          <t>Walls (corridor/kitchen)</t>
        </is>
      </c>
      <c r="C28" s="5" t="n">
        <v>50</v>
      </c>
    </row>
    <row r="29" ht="22" customHeight="1">
      <c r="B29" s="3" t="inlineStr">
        <is>
          <t>House facade</t>
        </is>
      </c>
      <c r="C29" s="5" t="n">
        <v>100</v>
      </c>
    </row>
    <row r="30" ht="22" customHeight="1">
      <c r="B30" s="3" t="inlineStr">
        <is>
          <t>Decorative wall</t>
        </is>
      </c>
      <c r="C30" s="5" t="n">
        <v>20</v>
      </c>
    </row>
    <row r="31" ht="22" customHeight="1">
      <c r="B31" s="3" t="inlineStr">
        <is>
          <t>Radiators</t>
        </is>
      </c>
      <c r="C31" s="5" t="n">
        <v>6</v>
      </c>
    </row>
    <row r="32" ht="22" customHeight="1">
      <c r="B32" s="3" t="inlineStr">
        <is>
          <t>Metal decking</t>
        </is>
      </c>
      <c r="C32" s="5" t="n">
        <v>25</v>
      </c>
    </row>
    <row r="34">
      <c r="B34" s="6" t="inlineStr">
        <is>
          <t>Yellow cells are editable. Change values to recalculate.</t>
        </is>
      </c>
    </row>
  </sheetData>
  <mergeCells count="4">
    <mergeCell ref="B34:G34"/>
    <mergeCell ref="B2:G2"/>
    <mergeCell ref="B4:G4"/>
    <mergeCell ref="B16:G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51"/>
  <sheetViews>
    <sheetView showGridLines="0" workbookViewId="0">
      <selection activeCell="A1" sqref="A1"/>
    </sheetView>
  </sheetViews>
  <sheetFormatPr baseColWidth="8" defaultRowHeight="15"/>
  <cols>
    <col width="3" customWidth="1" min="1" max="1"/>
  </cols>
  <sheetData>
    <row r="1" ht="15" customHeight="1"/>
    <row r="2" ht="32" customHeight="1">
      <c r="B2" s="1" t="inlineStr">
        <is>
          <t>LEMANA PRO PRICE LIST - EMPILS ASSORTMENT</t>
        </is>
      </c>
    </row>
    <row r="3" ht="8" customHeight="1"/>
    <row r="4" ht="28" customHeight="1">
      <c r="B4" s="7" t="inlineStr">
        <is>
          <t>#</t>
        </is>
      </c>
      <c r="C4" s="7" t="inlineStr">
        <is>
          <t>Category</t>
        </is>
      </c>
      <c r="D4" s="7" t="inlineStr">
        <is>
          <t>Product</t>
        </is>
      </c>
      <c r="E4" s="7" t="inlineStr">
        <is>
          <t>Brand</t>
        </is>
      </c>
      <c r="F4" s="7" t="inlineStr">
        <is>
          <t>Pack</t>
        </is>
      </c>
      <c r="G4" s="7" t="inlineStr">
        <is>
          <t>Price (RUB)</t>
        </is>
      </c>
      <c r="H4" s="7" t="inlineStr">
        <is>
          <t>Unit</t>
        </is>
      </c>
      <c r="I4" s="7" t="inlineStr">
        <is>
          <t>Price per kg/l (RUB)</t>
        </is>
      </c>
    </row>
    <row r="5" ht="22" customHeight="1">
      <c r="B5" s="8" t="n">
        <v>1</v>
      </c>
      <c r="C5" s="9" t="inlineStr">
        <is>
          <t>Primer</t>
        </is>
      </c>
      <c r="D5" s="9" t="inlineStr">
        <is>
          <t>Primer GF-021 L</t>
        </is>
      </c>
      <c r="E5" s="9" t="inlineStr">
        <is>
          <t>OREOL</t>
        </is>
      </c>
      <c r="F5" s="9" t="inlineStr">
        <is>
          <t>1 kg</t>
        </is>
      </c>
      <c r="G5" s="10" t="n">
        <v>180</v>
      </c>
      <c r="H5" s="9" t="inlineStr">
        <is>
          <t>kg</t>
        </is>
      </c>
      <c r="I5" s="10" t="n">
        <v>180</v>
      </c>
    </row>
    <row r="6" ht="22" customHeight="1">
      <c r="B6" s="11" t="n">
        <v>2</v>
      </c>
      <c r="C6" s="12" t="inlineStr">
        <is>
          <t>Primer</t>
        </is>
      </c>
      <c r="D6" s="12" t="inlineStr">
        <is>
          <t>Primer GF-021 L</t>
        </is>
      </c>
      <c r="E6" s="12" t="inlineStr">
        <is>
          <t>OREOL</t>
        </is>
      </c>
      <c r="F6" s="12" t="inlineStr">
        <is>
          <t>1.9 kg</t>
        </is>
      </c>
      <c r="G6" s="13" t="n">
        <v>310</v>
      </c>
      <c r="H6" s="12" t="inlineStr">
        <is>
          <t>kg</t>
        </is>
      </c>
      <c r="I6" s="13" t="n">
        <v>163.2</v>
      </c>
    </row>
    <row r="7" ht="22" customHeight="1">
      <c r="B7" s="8" t="n">
        <v>3</v>
      </c>
      <c r="C7" s="9" t="inlineStr">
        <is>
          <t>Primer</t>
        </is>
      </c>
      <c r="D7" s="9" t="inlineStr">
        <is>
          <t>Primer GF-021 L</t>
        </is>
      </c>
      <c r="E7" s="9" t="inlineStr">
        <is>
          <t>OREOL</t>
        </is>
      </c>
      <c r="F7" s="9" t="inlineStr">
        <is>
          <t>5.5 kg</t>
        </is>
      </c>
      <c r="G7" s="10" t="n">
        <v>680</v>
      </c>
      <c r="H7" s="9" t="inlineStr">
        <is>
          <t>kg</t>
        </is>
      </c>
      <c r="I7" s="10" t="n">
        <v>123.6</v>
      </c>
    </row>
    <row r="8" ht="22" customHeight="1">
      <c r="B8" s="11" t="n">
        <v>4</v>
      </c>
      <c r="C8" s="12" t="inlineStr">
        <is>
          <t>VD Primer</t>
        </is>
      </c>
      <c r="D8" s="12" t="inlineStr">
        <is>
          <t>VD Primer universal</t>
        </is>
      </c>
      <c r="E8" s="12" t="inlineStr">
        <is>
          <t>OREOL DISCOUNT</t>
        </is>
      </c>
      <c r="F8" s="12" t="inlineStr">
        <is>
          <t>20 kg</t>
        </is>
      </c>
      <c r="G8" s="13" t="n">
        <v>620</v>
      </c>
      <c r="H8" s="12" t="inlineStr">
        <is>
          <t>kg</t>
        </is>
      </c>
      <c r="I8" s="13" t="n">
        <v>31</v>
      </c>
    </row>
    <row r="9" ht="22" customHeight="1">
      <c r="B9" s="8" t="n">
        <v>5</v>
      </c>
      <c r="C9" s="9" t="inlineStr">
        <is>
          <t>Enamel PF-115</t>
        </is>
      </c>
      <c r="D9" s="9" t="inlineStr">
        <is>
          <t>Enamel PF-115</t>
        </is>
      </c>
      <c r="E9" s="9" t="inlineStr">
        <is>
          <t>ProstoKRASKA</t>
        </is>
      </c>
      <c r="F9" s="9" t="inlineStr">
        <is>
          <t>0.8 kg</t>
        </is>
      </c>
      <c r="G9" s="10" t="n">
        <v>130</v>
      </c>
      <c r="H9" s="9" t="inlineStr">
        <is>
          <t>kg</t>
        </is>
      </c>
      <c r="I9" s="10" t="n">
        <v>162.5</v>
      </c>
    </row>
    <row r="10" ht="22" customHeight="1">
      <c r="B10" s="11" t="n">
        <v>6</v>
      </c>
      <c r="C10" s="12" t="inlineStr">
        <is>
          <t>Enamel PF-115</t>
        </is>
      </c>
      <c r="D10" s="12" t="inlineStr">
        <is>
          <t>Enamel PF-115</t>
        </is>
      </c>
      <c r="E10" s="12" t="inlineStr">
        <is>
          <t>ProstoKRASKA</t>
        </is>
      </c>
      <c r="F10" s="12" t="inlineStr">
        <is>
          <t>1.9 kg</t>
        </is>
      </c>
      <c r="G10" s="13" t="n">
        <v>260</v>
      </c>
      <c r="H10" s="12" t="inlineStr">
        <is>
          <t>kg</t>
        </is>
      </c>
      <c r="I10" s="13" t="n">
        <v>136.8</v>
      </c>
    </row>
    <row r="11" ht="22" customHeight="1">
      <c r="B11" s="8" t="n">
        <v>7</v>
      </c>
      <c r="C11" s="9" t="inlineStr">
        <is>
          <t>Enamel PF-115</t>
        </is>
      </c>
      <c r="D11" s="9" t="inlineStr">
        <is>
          <t>Enamel PF-115</t>
        </is>
      </c>
      <c r="E11" s="9" t="inlineStr">
        <is>
          <t>ProstoKRASKA</t>
        </is>
      </c>
      <c r="F11" s="9" t="inlineStr">
        <is>
          <t>5.5 kg</t>
        </is>
      </c>
      <c r="G11" s="10" t="n">
        <v>580</v>
      </c>
      <c r="H11" s="9" t="inlineStr">
        <is>
          <t>kg</t>
        </is>
      </c>
      <c r="I11" s="10" t="n">
        <v>105.5</v>
      </c>
    </row>
    <row r="12" ht="22" customHeight="1">
      <c r="B12" s="11" t="n">
        <v>8</v>
      </c>
      <c r="C12" s="12" t="inlineStr">
        <is>
          <t>Enamel PF-115</t>
        </is>
      </c>
      <c r="D12" s="12" t="inlineStr">
        <is>
          <t>Enamel PF-115</t>
        </is>
      </c>
      <c r="E12" s="12" t="inlineStr">
        <is>
          <t>ProstoKRASKA</t>
        </is>
      </c>
      <c r="F12" s="12" t="inlineStr">
        <is>
          <t>9 kg</t>
        </is>
      </c>
      <c r="G12" s="13" t="n">
        <v>890</v>
      </c>
      <c r="H12" s="12" t="inlineStr">
        <is>
          <t>kg</t>
        </is>
      </c>
      <c r="I12" s="13" t="n">
        <v>98.90000000000001</v>
      </c>
    </row>
    <row r="13" ht="22" customHeight="1">
      <c r="B13" s="8" t="n">
        <v>9</v>
      </c>
      <c r="C13" s="9" t="inlineStr">
        <is>
          <t>Enamel PF-115</t>
        </is>
      </c>
      <c r="D13" s="9" t="inlineStr">
        <is>
          <t>Enamel PF-115</t>
        </is>
      </c>
      <c r="E13" s="9" t="inlineStr">
        <is>
          <t>ProstoKRASKA</t>
        </is>
      </c>
      <c r="F13" s="9" t="inlineStr">
        <is>
          <t>20 kg</t>
        </is>
      </c>
      <c r="G13" s="10" t="n">
        <v>1790</v>
      </c>
      <c r="H13" s="9" t="inlineStr">
        <is>
          <t>kg</t>
        </is>
      </c>
      <c r="I13" s="10" t="n">
        <v>89.5</v>
      </c>
    </row>
    <row r="14" ht="22" customHeight="1">
      <c r="B14" s="11" t="n">
        <v>10</v>
      </c>
      <c r="C14" s="12" t="inlineStr">
        <is>
          <t>Enamel PF-115</t>
        </is>
      </c>
      <c r="D14" s="12" t="inlineStr">
        <is>
          <t>Enamel PF-115 Premium</t>
        </is>
      </c>
      <c r="E14" s="12" t="inlineStr">
        <is>
          <t>OREOL</t>
        </is>
      </c>
      <c r="F14" s="12" t="inlineStr">
        <is>
          <t>0.9 kg</t>
        </is>
      </c>
      <c r="G14" s="13" t="n">
        <v>280</v>
      </c>
      <c r="H14" s="12" t="inlineStr">
        <is>
          <t>kg</t>
        </is>
      </c>
      <c r="I14" s="13" t="n">
        <v>311.1</v>
      </c>
    </row>
    <row r="15" ht="22" customHeight="1">
      <c r="B15" s="8" t="n">
        <v>11</v>
      </c>
      <c r="C15" s="9" t="inlineStr">
        <is>
          <t>Enamel PF-115</t>
        </is>
      </c>
      <c r="D15" s="9" t="inlineStr">
        <is>
          <t>Enamel PF-115 Premium</t>
        </is>
      </c>
      <c r="E15" s="9" t="inlineStr">
        <is>
          <t>OREOL</t>
        </is>
      </c>
      <c r="F15" s="9" t="inlineStr">
        <is>
          <t>2.2 kg</t>
        </is>
      </c>
      <c r="G15" s="10" t="n">
        <v>530</v>
      </c>
      <c r="H15" s="9" t="inlineStr">
        <is>
          <t>kg</t>
        </is>
      </c>
      <c r="I15" s="10" t="n">
        <v>240.9</v>
      </c>
    </row>
    <row r="16" ht="22" customHeight="1">
      <c r="B16" s="11" t="n">
        <v>12</v>
      </c>
      <c r="C16" s="12" t="inlineStr">
        <is>
          <t>Enamel PF-115</t>
        </is>
      </c>
      <c r="D16" s="12" t="inlineStr">
        <is>
          <t>Enamel PF-115 ECONOM L</t>
        </is>
      </c>
      <c r="E16" s="12" t="inlineStr">
        <is>
          <t>ECONOM L</t>
        </is>
      </c>
      <c r="F16" s="12" t="inlineStr">
        <is>
          <t>9 kg</t>
        </is>
      </c>
      <c r="G16" s="13" t="n">
        <v>820</v>
      </c>
      <c r="H16" s="12" t="inlineStr">
        <is>
          <t>kg</t>
        </is>
      </c>
      <c r="I16" s="13" t="n">
        <v>91.09999999999999</v>
      </c>
    </row>
    <row r="17" ht="22" customHeight="1">
      <c r="B17" s="8" t="n">
        <v>13</v>
      </c>
      <c r="C17" s="9" t="inlineStr">
        <is>
          <t>Enamel PF-115</t>
        </is>
      </c>
      <c r="D17" s="9" t="inlineStr">
        <is>
          <t>Enamel PF-115 ECONOM L</t>
        </is>
      </c>
      <c r="E17" s="9" t="inlineStr">
        <is>
          <t>ECONOM L</t>
        </is>
      </c>
      <c r="F17" s="9" t="inlineStr">
        <is>
          <t>20 kg</t>
        </is>
      </c>
      <c r="G17" s="10" t="n">
        <v>1650</v>
      </c>
      <c r="H17" s="9" t="inlineStr">
        <is>
          <t>kg</t>
        </is>
      </c>
      <c r="I17" s="10" t="n">
        <v>82.5</v>
      </c>
    </row>
    <row r="18" ht="22" customHeight="1">
      <c r="B18" s="11" t="n">
        <v>14</v>
      </c>
      <c r="C18" s="12" t="inlineStr">
        <is>
          <t>Primer-enamel 3v1</t>
        </is>
      </c>
      <c r="D18" s="12" t="inlineStr">
        <is>
          <t>Primer-enamel 3v1 on rust</t>
        </is>
      </c>
      <c r="E18" s="12" t="inlineStr">
        <is>
          <t>OREOL</t>
        </is>
      </c>
      <c r="F18" s="12" t="inlineStr">
        <is>
          <t>0.9 kg</t>
        </is>
      </c>
      <c r="G18" s="13" t="n">
        <v>360</v>
      </c>
      <c r="H18" s="12" t="inlineStr">
        <is>
          <t>kg</t>
        </is>
      </c>
      <c r="I18" s="13" t="n">
        <v>400</v>
      </c>
    </row>
    <row r="19" ht="22" customHeight="1">
      <c r="B19" s="8" t="n">
        <v>15</v>
      </c>
      <c r="C19" s="9" t="inlineStr">
        <is>
          <t>Primer-enamel 3v1</t>
        </is>
      </c>
      <c r="D19" s="9" t="inlineStr">
        <is>
          <t>Primer-enamel 3v1 on rust</t>
        </is>
      </c>
      <c r="E19" s="9" t="inlineStr">
        <is>
          <t>OREOL</t>
        </is>
      </c>
      <c r="F19" s="9" t="inlineStr">
        <is>
          <t>2.6 kg</t>
        </is>
      </c>
      <c r="G19" s="10" t="n">
        <v>770</v>
      </c>
      <c r="H19" s="9" t="inlineStr">
        <is>
          <t>kg</t>
        </is>
      </c>
      <c r="I19" s="10" t="n">
        <v>296.2</v>
      </c>
    </row>
    <row r="20" ht="22" customHeight="1">
      <c r="B20" s="11" t="n">
        <v>16</v>
      </c>
      <c r="C20" s="12" t="inlineStr">
        <is>
          <t>Primer-enamel 3v1</t>
        </is>
      </c>
      <c r="D20" s="12" t="inlineStr">
        <is>
          <t>Primer-enamel 3v1 on rust</t>
        </is>
      </c>
      <c r="E20" s="12" t="inlineStr">
        <is>
          <t>OREOL</t>
        </is>
      </c>
      <c r="F20" s="12" t="inlineStr">
        <is>
          <t>5 kg</t>
        </is>
      </c>
      <c r="G20" s="13" t="n">
        <v>1250</v>
      </c>
      <c r="H20" s="12" t="inlineStr">
        <is>
          <t>kg</t>
        </is>
      </c>
      <c r="I20" s="13" t="n">
        <v>250</v>
      </c>
    </row>
    <row r="21" ht="22" customHeight="1">
      <c r="B21" s="8" t="n">
        <v>17</v>
      </c>
      <c r="C21" s="9" t="inlineStr">
        <is>
          <t>Primer-enamel 3v1</t>
        </is>
      </c>
      <c r="D21" s="9" t="inlineStr">
        <is>
          <t>Primer-enamel 3v1 on rust</t>
        </is>
      </c>
      <c r="E21" s="9" t="inlineStr">
        <is>
          <t>OREOL</t>
        </is>
      </c>
      <c r="F21" s="9" t="inlineStr">
        <is>
          <t>10 kg</t>
        </is>
      </c>
      <c r="G21" s="10" t="n">
        <v>2150</v>
      </c>
      <c r="H21" s="9" t="inlineStr">
        <is>
          <t>kg</t>
        </is>
      </c>
      <c r="I21" s="10" t="n">
        <v>215</v>
      </c>
    </row>
    <row r="22" ht="22" customHeight="1">
      <c r="B22" s="11" t="n">
        <v>18</v>
      </c>
      <c r="C22" s="12" t="inlineStr">
        <is>
          <t>Primer-enamel TITAN</t>
        </is>
      </c>
      <c r="D22" s="12" t="inlineStr">
        <is>
          <t>Primer-enamel TITAN on rust</t>
        </is>
      </c>
      <c r="E22" s="12" t="inlineStr">
        <is>
          <t>OREOL TITAN</t>
        </is>
      </c>
      <c r="F22" s="12" t="inlineStr">
        <is>
          <t>0.4 l</t>
        </is>
      </c>
      <c r="G22" s="13" t="n">
        <v>460</v>
      </c>
      <c r="H22" s="12" t="inlineStr">
        <is>
          <t>l</t>
        </is>
      </c>
      <c r="I22" s="13" t="n">
        <v>1150</v>
      </c>
    </row>
    <row r="23" ht="22" customHeight="1">
      <c r="B23" s="8" t="n">
        <v>19</v>
      </c>
      <c r="C23" s="9" t="inlineStr">
        <is>
          <t>Primer-enamel TITAN</t>
        </is>
      </c>
      <c r="D23" s="9" t="inlineStr">
        <is>
          <t>Primer-enamel TITAN on rust</t>
        </is>
      </c>
      <c r="E23" s="9" t="inlineStr">
        <is>
          <t>OREOL TITAN</t>
        </is>
      </c>
      <c r="F23" s="9" t="inlineStr">
        <is>
          <t>0.75 l</t>
        </is>
      </c>
      <c r="G23" s="10" t="n">
        <v>720</v>
      </c>
      <c r="H23" s="9" t="inlineStr">
        <is>
          <t>l</t>
        </is>
      </c>
      <c r="I23" s="10" t="n">
        <v>960</v>
      </c>
    </row>
    <row r="24" ht="22" customHeight="1">
      <c r="B24" s="11" t="n">
        <v>20</v>
      </c>
      <c r="C24" s="12" t="inlineStr">
        <is>
          <t>Primer-enamel TITAN</t>
        </is>
      </c>
      <c r="D24" s="12" t="inlineStr">
        <is>
          <t>Primer-enamel TITAN on rust</t>
        </is>
      </c>
      <c r="E24" s="12" t="inlineStr">
        <is>
          <t>OREOL TITAN</t>
        </is>
      </c>
      <c r="F24" s="12" t="inlineStr">
        <is>
          <t>2 l</t>
        </is>
      </c>
      <c r="G24" s="13" t="n">
        <v>1520</v>
      </c>
      <c r="H24" s="12" t="inlineStr">
        <is>
          <t>l</t>
        </is>
      </c>
      <c r="I24" s="13" t="n">
        <v>760</v>
      </c>
    </row>
    <row r="25" ht="22" customHeight="1">
      <c r="B25" s="8" t="n">
        <v>21</v>
      </c>
      <c r="C25" s="9" t="inlineStr">
        <is>
          <t>Primer-enamel TITAN</t>
        </is>
      </c>
      <c r="D25" s="9" t="inlineStr">
        <is>
          <t>Primer-enamel TITAN on rust</t>
        </is>
      </c>
      <c r="E25" s="9" t="inlineStr">
        <is>
          <t>OREOL TITAN</t>
        </is>
      </c>
      <c r="F25" s="9" t="inlineStr">
        <is>
          <t>5 l</t>
        </is>
      </c>
      <c r="G25" s="10" t="n">
        <v>3050</v>
      </c>
      <c r="H25" s="9" t="inlineStr">
        <is>
          <t>l</t>
        </is>
      </c>
      <c r="I25" s="10" t="n">
        <v>610</v>
      </c>
    </row>
    <row r="26" ht="22" customHeight="1">
      <c r="B26" s="11" t="n">
        <v>22</v>
      </c>
      <c r="C26" s="12" t="inlineStr">
        <is>
          <t>Primer-enamel Paint Lab</t>
        </is>
      </c>
      <c r="D26" s="12" t="inlineStr">
        <is>
          <t>Primer-enamel Paint Lab</t>
        </is>
      </c>
      <c r="E26" s="12" t="inlineStr">
        <is>
          <t>EMPILS Paint Lab</t>
        </is>
      </c>
      <c r="F26" s="12" t="inlineStr">
        <is>
          <t>0.9 kg</t>
        </is>
      </c>
      <c r="G26" s="13" t="n">
        <v>410</v>
      </c>
      <c r="H26" s="12" t="inlineStr">
        <is>
          <t>kg</t>
        </is>
      </c>
      <c r="I26" s="13" t="n">
        <v>455.6</v>
      </c>
    </row>
    <row r="27" ht="22" customHeight="1">
      <c r="B27" s="8" t="n">
        <v>23</v>
      </c>
      <c r="C27" s="9" t="inlineStr">
        <is>
          <t>Primer-enamel Paint Lab</t>
        </is>
      </c>
      <c r="D27" s="9" t="inlineStr">
        <is>
          <t>Primer-enamel Paint Lab</t>
        </is>
      </c>
      <c r="E27" s="9" t="inlineStr">
        <is>
          <t>EMPILS Paint Lab</t>
        </is>
      </c>
      <c r="F27" s="9" t="inlineStr">
        <is>
          <t>2.6 kg</t>
        </is>
      </c>
      <c r="G27" s="10" t="n">
        <v>920</v>
      </c>
      <c r="H27" s="9" t="inlineStr">
        <is>
          <t>kg</t>
        </is>
      </c>
      <c r="I27" s="10" t="n">
        <v>353.8</v>
      </c>
    </row>
    <row r="28" ht="22" customHeight="1">
      <c r="B28" s="11" t="n">
        <v>24</v>
      </c>
      <c r="C28" s="12" t="inlineStr">
        <is>
          <t>Primer-enamel Paint Lab</t>
        </is>
      </c>
      <c r="D28" s="12" t="inlineStr">
        <is>
          <t>Primer-enamel Paint Lab</t>
        </is>
      </c>
      <c r="E28" s="12" t="inlineStr">
        <is>
          <t>EMPILS Paint Lab</t>
        </is>
      </c>
      <c r="F28" s="12" t="inlineStr">
        <is>
          <t>5 kg</t>
        </is>
      </c>
      <c r="G28" s="13" t="n">
        <v>1550</v>
      </c>
      <c r="H28" s="12" t="inlineStr">
        <is>
          <t>kg</t>
        </is>
      </c>
      <c r="I28" s="13" t="n">
        <v>310</v>
      </c>
    </row>
    <row r="29" ht="22" customHeight="1">
      <c r="B29" s="8" t="n">
        <v>25</v>
      </c>
      <c r="C29" s="9" t="inlineStr">
        <is>
          <t>Floor enamel</t>
        </is>
      </c>
      <c r="D29" s="9" t="inlineStr">
        <is>
          <t>Ratsvet floor enamel AK</t>
        </is>
      </c>
      <c r="E29" s="9" t="inlineStr">
        <is>
          <t>Ratsvet</t>
        </is>
      </c>
      <c r="F29" s="9" t="inlineStr">
        <is>
          <t>0.9 kg</t>
        </is>
      </c>
      <c r="G29" s="10" t="n">
        <v>280</v>
      </c>
      <c r="H29" s="9" t="inlineStr">
        <is>
          <t>kg</t>
        </is>
      </c>
      <c r="I29" s="10" t="n">
        <v>311.1</v>
      </c>
    </row>
    <row r="30" ht="22" customHeight="1">
      <c r="B30" s="11" t="n">
        <v>26</v>
      </c>
      <c r="C30" s="12" t="inlineStr">
        <is>
          <t>Floor enamel</t>
        </is>
      </c>
      <c r="D30" s="12" t="inlineStr">
        <is>
          <t>Ratsvet floor enamel AK</t>
        </is>
      </c>
      <c r="E30" s="12" t="inlineStr">
        <is>
          <t>Ratsvet</t>
        </is>
      </c>
      <c r="F30" s="12" t="inlineStr">
        <is>
          <t>2.7 kg</t>
        </is>
      </c>
      <c r="G30" s="13" t="n">
        <v>660</v>
      </c>
      <c r="H30" s="12" t="inlineStr">
        <is>
          <t>kg</t>
        </is>
      </c>
      <c r="I30" s="13" t="n">
        <v>244.4</v>
      </c>
    </row>
    <row r="31" ht="22" customHeight="1">
      <c r="B31" s="8" t="n">
        <v>27</v>
      </c>
      <c r="C31" s="9" t="inlineStr">
        <is>
          <t>Floor enamel</t>
        </is>
      </c>
      <c r="D31" s="9" t="inlineStr">
        <is>
          <t>Ratsvet floor enamel AK</t>
        </is>
      </c>
      <c r="E31" s="9" t="inlineStr">
        <is>
          <t>Ratsvet</t>
        </is>
      </c>
      <c r="F31" s="9" t="inlineStr">
        <is>
          <t>5 kg</t>
        </is>
      </c>
      <c r="G31" s="10" t="n">
        <v>1080</v>
      </c>
      <c r="H31" s="9" t="inlineStr">
        <is>
          <t>kg</t>
        </is>
      </c>
      <c r="I31" s="10" t="n">
        <v>216</v>
      </c>
    </row>
    <row r="32" ht="22" customHeight="1">
      <c r="B32" s="11" t="n">
        <v>28</v>
      </c>
      <c r="C32" s="12" t="inlineStr">
        <is>
          <t>Floor enamel</t>
        </is>
      </c>
      <c r="D32" s="12" t="inlineStr">
        <is>
          <t>Ratsvet floor enamel AK</t>
        </is>
      </c>
      <c r="E32" s="12" t="inlineStr">
        <is>
          <t>Ratsvet</t>
        </is>
      </c>
      <c r="F32" s="12" t="inlineStr">
        <is>
          <t>10 kg</t>
        </is>
      </c>
      <c r="G32" s="13" t="n">
        <v>1850</v>
      </c>
      <c r="H32" s="12" t="inlineStr">
        <is>
          <t>kg</t>
        </is>
      </c>
      <c r="I32" s="13" t="n">
        <v>185</v>
      </c>
    </row>
    <row r="33" ht="22" customHeight="1">
      <c r="B33" s="8" t="n">
        <v>29</v>
      </c>
      <c r="C33" s="9" t="inlineStr">
        <is>
          <t>Floor enamel</t>
        </is>
      </c>
      <c r="D33" s="9" t="inlineStr">
        <is>
          <t>Ratsvet floor enamel AK</t>
        </is>
      </c>
      <c r="E33" s="9" t="inlineStr">
        <is>
          <t>Ratsvet</t>
        </is>
      </c>
      <c r="F33" s="9" t="inlineStr">
        <is>
          <t>20 kg</t>
        </is>
      </c>
      <c r="G33" s="10" t="n">
        <v>3350</v>
      </c>
      <c r="H33" s="9" t="inlineStr">
        <is>
          <t>kg</t>
        </is>
      </c>
      <c r="I33" s="10" t="n">
        <v>167.5</v>
      </c>
    </row>
    <row r="34" ht="22" customHeight="1">
      <c r="B34" s="11" t="n">
        <v>30</v>
      </c>
      <c r="C34" s="12" t="inlineStr">
        <is>
          <t>Yacht varnish</t>
        </is>
      </c>
      <c r="D34" s="12" t="inlineStr">
        <is>
          <t>Yacht varnish weatherproof</t>
        </is>
      </c>
      <c r="E34" s="12" t="inlineStr">
        <is>
          <t>MONLID</t>
        </is>
      </c>
      <c r="F34" s="12" t="inlineStr">
        <is>
          <t>0.7 kg</t>
        </is>
      </c>
      <c r="G34" s="13" t="n">
        <v>360</v>
      </c>
      <c r="H34" s="12" t="inlineStr">
        <is>
          <t>kg</t>
        </is>
      </c>
      <c r="I34" s="13" t="n">
        <v>514.3</v>
      </c>
    </row>
    <row r="35" ht="22" customHeight="1">
      <c r="B35" s="8" t="n">
        <v>31</v>
      </c>
      <c r="C35" s="9" t="inlineStr">
        <is>
          <t>Yacht varnish</t>
        </is>
      </c>
      <c r="D35" s="9" t="inlineStr">
        <is>
          <t>Yacht varnish weatherproof</t>
        </is>
      </c>
      <c r="E35" s="9" t="inlineStr">
        <is>
          <t>MONLID</t>
        </is>
      </c>
      <c r="F35" s="9" t="inlineStr">
        <is>
          <t>1.9 kg</t>
        </is>
      </c>
      <c r="G35" s="10" t="n">
        <v>720</v>
      </c>
      <c r="H35" s="9" t="inlineStr">
        <is>
          <t>kg</t>
        </is>
      </c>
      <c r="I35" s="10" t="n">
        <v>378.9</v>
      </c>
    </row>
    <row r="36" ht="22" customHeight="1">
      <c r="B36" s="11" t="n">
        <v>32</v>
      </c>
      <c r="C36" s="12" t="inlineStr">
        <is>
          <t>Yacht varnish</t>
        </is>
      </c>
      <c r="D36" s="12" t="inlineStr">
        <is>
          <t>Yacht varnish weatherproof</t>
        </is>
      </c>
      <c r="E36" s="12" t="inlineStr">
        <is>
          <t>MONLID</t>
        </is>
      </c>
      <c r="F36" s="12" t="inlineStr">
        <is>
          <t>4.6 kg</t>
        </is>
      </c>
      <c r="G36" s="13" t="n">
        <v>1450</v>
      </c>
      <c r="H36" s="12" t="inlineStr">
        <is>
          <t>kg</t>
        </is>
      </c>
      <c r="I36" s="13" t="n">
        <v>315.2</v>
      </c>
    </row>
    <row r="37" ht="22" customHeight="1">
      <c r="B37" s="8" t="n">
        <v>33</v>
      </c>
      <c r="C37" s="9" t="inlineStr">
        <is>
          <t>Yacht varnish</t>
        </is>
      </c>
      <c r="D37" s="9" t="inlineStr">
        <is>
          <t>Yacht varnish weatherproof</t>
        </is>
      </c>
      <c r="E37" s="9" t="inlineStr">
        <is>
          <t>Luxens</t>
        </is>
      </c>
      <c r="F37" s="9" t="inlineStr">
        <is>
          <t>0.7 kg</t>
        </is>
      </c>
      <c r="G37" s="10" t="n">
        <v>510</v>
      </c>
      <c r="H37" s="9" t="inlineStr">
        <is>
          <t>kg</t>
        </is>
      </c>
      <c r="I37" s="10" t="n">
        <v>728.6</v>
      </c>
    </row>
    <row r="38" ht="22" customHeight="1">
      <c r="B38" s="11" t="n">
        <v>34</v>
      </c>
      <c r="C38" s="12" t="inlineStr">
        <is>
          <t>Yacht varnish</t>
        </is>
      </c>
      <c r="D38" s="12" t="inlineStr">
        <is>
          <t>Yacht varnish weatherproof</t>
        </is>
      </c>
      <c r="E38" s="12" t="inlineStr">
        <is>
          <t>Luxens</t>
        </is>
      </c>
      <c r="F38" s="12" t="inlineStr">
        <is>
          <t>1.9 kg</t>
        </is>
      </c>
      <c r="G38" s="13" t="n">
        <v>1020</v>
      </c>
      <c r="H38" s="12" t="inlineStr">
        <is>
          <t>kg</t>
        </is>
      </c>
      <c r="I38" s="13" t="n">
        <v>536.8</v>
      </c>
    </row>
    <row r="39" ht="22" customHeight="1">
      <c r="B39" s="8" t="n">
        <v>35</v>
      </c>
      <c r="C39" s="9" t="inlineStr">
        <is>
          <t>Yacht varnish</t>
        </is>
      </c>
      <c r="D39" s="9" t="inlineStr">
        <is>
          <t>Yacht varnish weatherproof</t>
        </is>
      </c>
      <c r="E39" s="9" t="inlineStr">
        <is>
          <t>Luxens</t>
        </is>
      </c>
      <c r="F39" s="9" t="inlineStr">
        <is>
          <t>4.6 kg</t>
        </is>
      </c>
      <c r="G39" s="10" t="n">
        <v>2050</v>
      </c>
      <c r="H39" s="9" t="inlineStr">
        <is>
          <t>kg</t>
        </is>
      </c>
      <c r="I39" s="10" t="n">
        <v>445.7</v>
      </c>
    </row>
    <row r="40" ht="22" customHeight="1">
      <c r="B40" s="11" t="n">
        <v>36</v>
      </c>
      <c r="C40" s="12" t="inlineStr">
        <is>
          <t>Parquet varnish</t>
        </is>
      </c>
      <c r="D40" s="12" t="inlineStr">
        <is>
          <t>Parquet varnish AVANTGARDE</t>
        </is>
      </c>
      <c r="E40" s="12" t="inlineStr">
        <is>
          <t>AVANTGARDE</t>
        </is>
      </c>
      <c r="F40" s="12" t="inlineStr">
        <is>
          <t>0.75 l</t>
        </is>
      </c>
      <c r="G40" s="13" t="n">
        <v>820</v>
      </c>
      <c r="H40" s="12" t="inlineStr">
        <is>
          <t>l</t>
        </is>
      </c>
      <c r="I40" s="13" t="n">
        <v>1093.3</v>
      </c>
    </row>
    <row r="41" ht="22" customHeight="1">
      <c r="B41" s="8" t="n">
        <v>37</v>
      </c>
      <c r="C41" s="9" t="inlineStr">
        <is>
          <t>Parquet varnish</t>
        </is>
      </c>
      <c r="D41" s="9" t="inlineStr">
        <is>
          <t>Parquet varnish AVANTGARDE</t>
        </is>
      </c>
      <c r="E41" s="9" t="inlineStr">
        <is>
          <t>AVANTGARDE</t>
        </is>
      </c>
      <c r="F41" s="9" t="inlineStr">
        <is>
          <t>2 l</t>
        </is>
      </c>
      <c r="G41" s="10" t="n">
        <v>1850</v>
      </c>
      <c r="H41" s="9" t="inlineStr">
        <is>
          <t>l</t>
        </is>
      </c>
      <c r="I41" s="10" t="n">
        <v>925</v>
      </c>
    </row>
    <row r="42" ht="22" customHeight="1">
      <c r="B42" s="11" t="n">
        <v>38</v>
      </c>
      <c r="C42" s="12" t="inlineStr">
        <is>
          <t>Parquet varnish</t>
        </is>
      </c>
      <c r="D42" s="12" t="inlineStr">
        <is>
          <t>Parquet varnish AVANTGARDE</t>
        </is>
      </c>
      <c r="E42" s="12" t="inlineStr">
        <is>
          <t>AVANTGARDE</t>
        </is>
      </c>
      <c r="F42" s="12" t="inlineStr">
        <is>
          <t>4.5 l</t>
        </is>
      </c>
      <c r="G42" s="13" t="n">
        <v>3600</v>
      </c>
      <c r="H42" s="12" t="inlineStr">
        <is>
          <t>l</t>
        </is>
      </c>
      <c r="I42" s="13" t="n">
        <v>800</v>
      </c>
    </row>
    <row r="43" ht="22" customHeight="1">
      <c r="B43" s="8" t="n">
        <v>39</v>
      </c>
      <c r="C43" s="9" t="inlineStr">
        <is>
          <t>VD ceiling paint</t>
        </is>
      </c>
      <c r="D43" s="9" t="inlineStr">
        <is>
          <t>VD ceiling paint</t>
        </is>
      </c>
      <c r="E43" s="9" t="inlineStr">
        <is>
          <t>PL LERUA</t>
        </is>
      </c>
      <c r="F43" s="9" t="inlineStr">
        <is>
          <t>3 kg</t>
        </is>
      </c>
      <c r="G43" s="10" t="n">
        <v>360</v>
      </c>
      <c r="H43" s="9" t="inlineStr">
        <is>
          <t>kg</t>
        </is>
      </c>
      <c r="I43" s="10" t="n">
        <v>120</v>
      </c>
    </row>
    <row r="44" ht="22" customHeight="1">
      <c r="B44" s="11" t="n">
        <v>40</v>
      </c>
      <c r="C44" s="12" t="inlineStr">
        <is>
          <t>VD ceiling paint</t>
        </is>
      </c>
      <c r="D44" s="12" t="inlineStr">
        <is>
          <t>VD ceiling paint</t>
        </is>
      </c>
      <c r="E44" s="12" t="inlineStr">
        <is>
          <t>PL LERUA</t>
        </is>
      </c>
      <c r="F44" s="12" t="inlineStr">
        <is>
          <t>6.5 kg</t>
        </is>
      </c>
      <c r="G44" s="13" t="n">
        <v>670</v>
      </c>
      <c r="H44" s="12" t="inlineStr">
        <is>
          <t>kg</t>
        </is>
      </c>
      <c r="I44" s="13" t="n">
        <v>103.1</v>
      </c>
    </row>
    <row r="45" ht="22" customHeight="1">
      <c r="B45" s="8" t="n">
        <v>41</v>
      </c>
      <c r="C45" s="9" t="inlineStr">
        <is>
          <t>VD ceiling paint</t>
        </is>
      </c>
      <c r="D45" s="9" t="inlineStr">
        <is>
          <t>VD ceiling paint</t>
        </is>
      </c>
      <c r="E45" s="9" t="inlineStr">
        <is>
          <t>PL LERUA</t>
        </is>
      </c>
      <c r="F45" s="9" t="inlineStr">
        <is>
          <t>14 kg</t>
        </is>
      </c>
      <c r="G45" s="10" t="n">
        <v>1250</v>
      </c>
      <c r="H45" s="9" t="inlineStr">
        <is>
          <t>kg</t>
        </is>
      </c>
      <c r="I45" s="10" t="n">
        <v>89.3</v>
      </c>
    </row>
    <row r="46" ht="22" customHeight="1">
      <c r="B46" s="11" t="n">
        <v>42</v>
      </c>
      <c r="C46" s="12" t="inlineStr">
        <is>
          <t>VD wall paint</t>
        </is>
      </c>
      <c r="D46" s="12" t="inlineStr">
        <is>
          <t>VD washable paint (base A/C)</t>
        </is>
      </c>
      <c r="E46" s="12" t="inlineStr">
        <is>
          <t>OREOL</t>
        </is>
      </c>
      <c r="F46" s="12" t="inlineStr">
        <is>
          <t>2.2 l</t>
        </is>
      </c>
      <c r="G46" s="13" t="n">
        <v>470</v>
      </c>
      <c r="H46" s="12" t="inlineStr">
        <is>
          <t>l</t>
        </is>
      </c>
      <c r="I46" s="13" t="n">
        <v>213.6</v>
      </c>
    </row>
    <row r="47" ht="22" customHeight="1">
      <c r="B47" s="8" t="n">
        <v>43</v>
      </c>
      <c r="C47" s="9" t="inlineStr">
        <is>
          <t>VD wall paint</t>
        </is>
      </c>
      <c r="D47" s="9" t="inlineStr">
        <is>
          <t>VD washable paint (base A/C)</t>
        </is>
      </c>
      <c r="E47" s="9" t="inlineStr">
        <is>
          <t>OREOL</t>
        </is>
      </c>
      <c r="F47" s="9" t="inlineStr">
        <is>
          <t>9 l</t>
        </is>
      </c>
      <c r="G47" s="10" t="n">
        <v>1550</v>
      </c>
      <c r="H47" s="9" t="inlineStr">
        <is>
          <t>l</t>
        </is>
      </c>
      <c r="I47" s="10" t="n">
        <v>172.2</v>
      </c>
    </row>
    <row r="48" ht="22" customHeight="1">
      <c r="B48" s="11" t="n">
        <v>44</v>
      </c>
      <c r="C48" s="12" t="inlineStr">
        <is>
          <t>VD facade paint</t>
        </is>
      </c>
      <c r="D48" s="12" t="inlineStr">
        <is>
          <t>VD facade paint (base A/C)</t>
        </is>
      </c>
      <c r="E48" s="12" t="inlineStr">
        <is>
          <t>OREOL</t>
        </is>
      </c>
      <c r="F48" s="12" t="inlineStr">
        <is>
          <t>9 l</t>
        </is>
      </c>
      <c r="G48" s="13" t="n">
        <v>1850</v>
      </c>
      <c r="H48" s="12" t="inlineStr">
        <is>
          <t>l</t>
        </is>
      </c>
      <c r="I48" s="13" t="n">
        <v>205.6</v>
      </c>
    </row>
    <row r="49" ht="22" customHeight="1">
      <c r="B49" s="8" t="n">
        <v>45</v>
      </c>
      <c r="C49" s="9" t="inlineStr">
        <is>
          <t>Textured paint</t>
        </is>
      </c>
      <c r="D49" s="9" t="inlineStr">
        <is>
          <t>Textured paint</t>
        </is>
      </c>
      <c r="E49" s="9" t="inlineStr">
        <is>
          <t>OREOL</t>
        </is>
      </c>
      <c r="F49" s="9" t="inlineStr">
        <is>
          <t>8 kg</t>
        </is>
      </c>
      <c r="G49" s="10" t="n">
        <v>1250</v>
      </c>
      <c r="H49" s="9" t="inlineStr">
        <is>
          <t>kg</t>
        </is>
      </c>
      <c r="I49" s="10" t="n">
        <v>156.2</v>
      </c>
    </row>
    <row r="50" ht="22" customHeight="1">
      <c r="B50" s="11" t="n">
        <v>46</v>
      </c>
      <c r="C50" s="12" t="inlineStr">
        <is>
          <t>Textured paint</t>
        </is>
      </c>
      <c r="D50" s="12" t="inlineStr">
        <is>
          <t>Textured paint</t>
        </is>
      </c>
      <c r="E50" s="12" t="inlineStr">
        <is>
          <t>OREOL</t>
        </is>
      </c>
      <c r="F50" s="12" t="inlineStr">
        <is>
          <t>16 kg</t>
        </is>
      </c>
      <c r="G50" s="13" t="n">
        <v>2250</v>
      </c>
      <c r="H50" s="12" t="inlineStr">
        <is>
          <t>kg</t>
        </is>
      </c>
      <c r="I50" s="13" t="n">
        <v>140.6</v>
      </c>
    </row>
    <row r="51" ht="22" customHeight="1">
      <c r="B51" s="8" t="n">
        <v>47</v>
      </c>
      <c r="C51" s="9" t="inlineStr">
        <is>
          <t>Radiator enamel</t>
        </is>
      </c>
      <c r="D51" s="9" t="inlineStr">
        <is>
          <t>Radiator enamel</t>
        </is>
      </c>
      <c r="E51" s="9" t="inlineStr">
        <is>
          <t>ProstoKRASKA</t>
        </is>
      </c>
      <c r="F51" s="9" t="inlineStr">
        <is>
          <t>0.9 kg</t>
        </is>
      </c>
      <c r="G51" s="10" t="n">
        <v>260</v>
      </c>
      <c r="H51" s="9" t="inlineStr">
        <is>
          <t>kg</t>
        </is>
      </c>
      <c r="I51" s="10" t="n">
        <v>288.9</v>
      </c>
    </row>
  </sheetData>
  <mergeCells count="1"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0" workbookViewId="0">
      <selection activeCell="A1" sqref="A1"/>
    </sheetView>
  </sheetViews>
  <sheetFormatPr baseColWidth="8" defaultRowHeight="15"/>
  <cols>
    <col width="3" customWidth="1" min="1" max="1"/>
  </cols>
  <sheetData>
    <row r="1" ht="15" customHeight="1"/>
    <row r="2" ht="32" customHeight="1">
      <c r="B2" s="1" t="inlineStr">
        <is>
          <t>CONSUMPTION RATES AND SERVICE LIFE</t>
        </is>
      </c>
    </row>
    <row r="3" ht="8" customHeight="1"/>
    <row r="4" ht="28" customHeight="1">
      <c r="B4" s="7" t="inlineStr">
        <is>
          <t>#</t>
        </is>
      </c>
      <c r="C4" s="7" t="inlineStr">
        <is>
          <t>Product category</t>
        </is>
      </c>
      <c r="D4" s="7" t="inlineStr">
        <is>
          <t>Consumption (g/m2/layer)</t>
        </is>
      </c>
      <c r="E4" s="7" t="inlineStr">
        <is>
          <t>Layers</t>
        </is>
      </c>
      <c r="F4" s="7" t="inlineStr">
        <is>
          <t>Service life (years)</t>
        </is>
      </c>
      <c r="G4" s="7" t="inlineStr">
        <is>
          <t>Price per kg/l (RUB)</t>
        </is>
      </c>
      <c r="H4" s="7" t="inlineStr">
        <is>
          <t>Total consumption (g/m2)</t>
        </is>
      </c>
    </row>
    <row r="5" ht="22" customHeight="1">
      <c r="B5" s="9" t="n">
        <v>1</v>
      </c>
      <c r="C5" s="9" t="inlineStr">
        <is>
          <t>Primer GF-021</t>
        </is>
      </c>
      <c r="D5" s="8" t="n">
        <v>70</v>
      </c>
      <c r="E5" s="8" t="n">
        <v>1</v>
      </c>
      <c r="F5" s="8" t="inlineStr">
        <is>
          <t>-</t>
        </is>
      </c>
      <c r="G5" s="10" t="n">
        <v>124</v>
      </c>
      <c r="H5" s="8" t="n">
        <v>70</v>
      </c>
    </row>
    <row r="6" ht="22" customHeight="1">
      <c r="B6" s="12" t="n">
        <v>2</v>
      </c>
      <c r="C6" s="12" t="inlineStr">
        <is>
          <t>VD Primer</t>
        </is>
      </c>
      <c r="D6" s="11" t="n">
        <v>100</v>
      </c>
      <c r="E6" s="11" t="n">
        <v>1</v>
      </c>
      <c r="F6" s="11" t="inlineStr">
        <is>
          <t>-</t>
        </is>
      </c>
      <c r="G6" s="13" t="n">
        <v>31</v>
      </c>
      <c r="H6" s="11" t="n">
        <v>100</v>
      </c>
    </row>
    <row r="7" ht="22" customHeight="1">
      <c r="B7" s="9" t="n">
        <v>3</v>
      </c>
      <c r="C7" s="9" t="inlineStr">
        <is>
          <t>Enamel PF-115 ProstoKRASKA</t>
        </is>
      </c>
      <c r="D7" s="8" t="n">
        <v>120</v>
      </c>
      <c r="E7" s="8" t="n">
        <v>2</v>
      </c>
      <c r="F7" s="14" t="n">
        <v>3</v>
      </c>
      <c r="G7" s="10" t="n">
        <v>90</v>
      </c>
      <c r="H7" s="8" t="n">
        <v>240</v>
      </c>
    </row>
    <row r="8" ht="22" customHeight="1">
      <c r="B8" s="12" t="n">
        <v>4</v>
      </c>
      <c r="C8" s="12" t="inlineStr">
        <is>
          <t>Enamel PF-115 OREOL Premium</t>
        </is>
      </c>
      <c r="D8" s="11" t="n">
        <v>110</v>
      </c>
      <c r="E8" s="11" t="n">
        <v>2</v>
      </c>
      <c r="F8" s="15" t="n">
        <v>5</v>
      </c>
      <c r="G8" s="13" t="n">
        <v>241</v>
      </c>
      <c r="H8" s="11" t="n">
        <v>220</v>
      </c>
    </row>
    <row r="9" ht="22" customHeight="1">
      <c r="B9" s="9" t="n">
        <v>5</v>
      </c>
      <c r="C9" s="9" t="inlineStr">
        <is>
          <t>Enamel PF-115 ECONOM L</t>
        </is>
      </c>
      <c r="D9" s="8" t="n">
        <v>130</v>
      </c>
      <c r="E9" s="8" t="n">
        <v>2</v>
      </c>
      <c r="F9" s="14" t="n">
        <v>2</v>
      </c>
      <c r="G9" s="10" t="n">
        <v>83</v>
      </c>
      <c r="H9" s="8" t="n">
        <v>260</v>
      </c>
    </row>
    <row r="10" ht="22" customHeight="1">
      <c r="B10" s="12" t="n">
        <v>6</v>
      </c>
      <c r="C10" s="12" t="inlineStr">
        <is>
          <t>Primer-enamel 3v1 OREOL</t>
        </is>
      </c>
      <c r="D10" s="11" t="n">
        <v>100</v>
      </c>
      <c r="E10" s="11" t="n">
        <v>2</v>
      </c>
      <c r="F10" s="15" t="n">
        <v>4</v>
      </c>
      <c r="G10" s="13" t="n">
        <v>215</v>
      </c>
      <c r="H10" s="11" t="n">
        <v>200</v>
      </c>
    </row>
    <row r="11" ht="22" customHeight="1">
      <c r="B11" s="9" t="n">
        <v>7</v>
      </c>
      <c r="C11" s="9" t="inlineStr">
        <is>
          <t>Primer-enamel TITAN</t>
        </is>
      </c>
      <c r="D11" s="8" t="n">
        <v>90</v>
      </c>
      <c r="E11" s="8" t="n">
        <v>2</v>
      </c>
      <c r="F11" s="14" t="n">
        <v>8</v>
      </c>
      <c r="G11" s="10" t="n">
        <v>610</v>
      </c>
      <c r="H11" s="8" t="n">
        <v>180</v>
      </c>
    </row>
    <row r="12" ht="22" customHeight="1">
      <c r="B12" s="12" t="n">
        <v>8</v>
      </c>
      <c r="C12" s="12" t="inlineStr">
        <is>
          <t>Primer-enamel Paint Lab</t>
        </is>
      </c>
      <c r="D12" s="11" t="n">
        <v>95</v>
      </c>
      <c r="E12" s="11" t="n">
        <v>2</v>
      </c>
      <c r="F12" s="15" t="n">
        <v>5</v>
      </c>
      <c r="G12" s="13" t="n">
        <v>310</v>
      </c>
      <c r="H12" s="11" t="n">
        <v>190</v>
      </c>
    </row>
    <row r="13" ht="22" customHeight="1">
      <c r="B13" s="9" t="n">
        <v>9</v>
      </c>
      <c r="C13" s="9" t="inlineStr">
        <is>
          <t>Floor enamel Ratsvet</t>
        </is>
      </c>
      <c r="D13" s="8" t="n">
        <v>120</v>
      </c>
      <c r="E13" s="8" t="n">
        <v>2</v>
      </c>
      <c r="F13" s="14" t="n">
        <v>7</v>
      </c>
      <c r="G13" s="10" t="n">
        <v>168</v>
      </c>
      <c r="H13" s="8" t="n">
        <v>240</v>
      </c>
    </row>
    <row r="14" ht="22" customHeight="1">
      <c r="B14" s="12" t="n">
        <v>10</v>
      </c>
      <c r="C14" s="12" t="inlineStr">
        <is>
          <t>Yacht varnish MONLID</t>
        </is>
      </c>
      <c r="D14" s="11" t="n">
        <v>90</v>
      </c>
      <c r="E14" s="11" t="n">
        <v>3</v>
      </c>
      <c r="F14" s="15" t="n">
        <v>4</v>
      </c>
      <c r="G14" s="13" t="n">
        <v>315</v>
      </c>
      <c r="H14" s="11" t="n">
        <v>270</v>
      </c>
    </row>
    <row r="15" ht="22" customHeight="1">
      <c r="B15" s="9" t="n">
        <v>11</v>
      </c>
      <c r="C15" s="9" t="inlineStr">
        <is>
          <t>Yacht varnish Luxens</t>
        </is>
      </c>
      <c r="D15" s="8" t="n">
        <v>85</v>
      </c>
      <c r="E15" s="8" t="n">
        <v>3</v>
      </c>
      <c r="F15" s="14" t="n">
        <v>6</v>
      </c>
      <c r="G15" s="10" t="n">
        <v>446</v>
      </c>
      <c r="H15" s="8" t="n">
        <v>255</v>
      </c>
    </row>
    <row r="16" ht="22" customHeight="1">
      <c r="B16" s="12" t="n">
        <v>12</v>
      </c>
      <c r="C16" s="12" t="inlineStr">
        <is>
          <t>Parquet varnish AVANTGARDE</t>
        </is>
      </c>
      <c r="D16" s="11" t="n">
        <v>100</v>
      </c>
      <c r="E16" s="11" t="n">
        <v>3</v>
      </c>
      <c r="F16" s="15" t="n">
        <v>7</v>
      </c>
      <c r="G16" s="13" t="n">
        <v>800</v>
      </c>
      <c r="H16" s="11" t="n">
        <v>300</v>
      </c>
    </row>
    <row r="17" ht="22" customHeight="1">
      <c r="B17" s="9" t="n">
        <v>13</v>
      </c>
      <c r="C17" s="9" t="inlineStr">
        <is>
          <t>VD ceiling paint</t>
        </is>
      </c>
      <c r="D17" s="8" t="n">
        <v>130</v>
      </c>
      <c r="E17" s="8" t="n">
        <v>2</v>
      </c>
      <c r="F17" s="14" t="n">
        <v>7</v>
      </c>
      <c r="G17" s="10" t="n">
        <v>89</v>
      </c>
      <c r="H17" s="8" t="n">
        <v>260</v>
      </c>
    </row>
    <row r="18" ht="22" customHeight="1">
      <c r="B18" s="12" t="n">
        <v>14</v>
      </c>
      <c r="C18" s="12" t="inlineStr">
        <is>
          <t>VD washable paint</t>
        </is>
      </c>
      <c r="D18" s="11" t="n">
        <v>120</v>
      </c>
      <c r="E18" s="11" t="n">
        <v>2</v>
      </c>
      <c r="F18" s="15" t="n">
        <v>7</v>
      </c>
      <c r="G18" s="13" t="n">
        <v>172</v>
      </c>
      <c r="H18" s="11" t="n">
        <v>240</v>
      </c>
    </row>
    <row r="19" ht="22" customHeight="1">
      <c r="B19" s="9" t="n">
        <v>15</v>
      </c>
      <c r="C19" s="9" t="inlineStr">
        <is>
          <t>VD facade paint</t>
        </is>
      </c>
      <c r="D19" s="8" t="n">
        <v>130</v>
      </c>
      <c r="E19" s="8" t="n">
        <v>2</v>
      </c>
      <c r="F19" s="14" t="n">
        <v>6</v>
      </c>
      <c r="G19" s="10" t="n">
        <v>206</v>
      </c>
      <c r="H19" s="8" t="n">
        <v>260</v>
      </c>
    </row>
    <row r="20" ht="22" customHeight="1">
      <c r="B20" s="12" t="n">
        <v>16</v>
      </c>
      <c r="C20" s="12" t="inlineStr">
        <is>
          <t>Textured paint</t>
        </is>
      </c>
      <c r="D20" s="11" t="n">
        <v>800</v>
      </c>
      <c r="E20" s="11" t="n">
        <v>1</v>
      </c>
      <c r="F20" s="15" t="n">
        <v>7</v>
      </c>
      <c r="G20" s="13" t="n">
        <v>141</v>
      </c>
      <c r="H20" s="11" t="n">
        <v>800</v>
      </c>
    </row>
    <row r="21" ht="22" customHeight="1">
      <c r="B21" s="9" t="n">
        <v>17</v>
      </c>
      <c r="C21" s="9" t="inlineStr">
        <is>
          <t>Radiator enamel</t>
        </is>
      </c>
      <c r="D21" s="8" t="n">
        <v>100</v>
      </c>
      <c r="E21" s="8" t="n">
        <v>2</v>
      </c>
      <c r="F21" s="14" t="n">
        <v>7</v>
      </c>
      <c r="G21" s="10" t="n">
        <v>289</v>
      </c>
      <c r="H21" s="8" t="n">
        <v>200</v>
      </c>
    </row>
  </sheetData>
  <mergeCells count="1"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O1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2" customWidth="1" min="3" max="3"/>
    <col width="22" customWidth="1" min="4" max="4"/>
    <col width="16" customWidth="1" min="5" max="5"/>
    <col width="16" customWidth="1" min="6" max="6"/>
    <col width="18" customWidth="1" min="7" max="7"/>
    <col width="18" customWidth="1" min="8" max="8"/>
    <col width="20" customWidth="1" min="9" max="9"/>
    <col width="16" customWidth="1" min="10" max="10"/>
    <col width="14" customWidth="1" min="11" max="11"/>
    <col width="14" customWidth="1" min="12" max="12"/>
    <col width="18" customWidth="1" min="13" max="13"/>
    <col width="16" customWidth="1" min="14" max="14"/>
    <col width="14" customWidth="1" min="15" max="15"/>
  </cols>
  <sheetData>
    <row r="1" ht="15" customHeight="1"/>
    <row r="2" ht="32" customHeight="1">
      <c r="B2" s="1" t="inlineStr">
        <is>
          <t>TCO CALCULATOR - TECHNOLOGICAL CHAINS LEMANA PRO</t>
        </is>
      </c>
    </row>
    <row r="3" ht="8" customHeight="1"/>
    <row r="4" ht="28" customHeight="1">
      <c r="B4" s="16" t="inlineStr">
        <is>
          <t>Chain 1. Metal protection: primer + enamel  [Metal]  Priority: HIGH</t>
        </is>
      </c>
    </row>
    <row r="5">
      <c r="B5" s="6" t="inlineStr">
        <is>
          <t>Problem: Rusty metal: fences, gates, pipes, garages. Need reliable coating for years.</t>
        </is>
      </c>
    </row>
    <row r="6">
      <c r="B6" s="17" t="inlineStr">
        <is>
          <t>Object: Metal gate | Area: 16 m2 | Horizon: 10 years</t>
        </is>
      </c>
    </row>
    <row r="7" ht="28" customHeight="1">
      <c r="B7" s="7" t="inlineStr">
        <is>
          <t>Variant</t>
        </is>
      </c>
      <c r="C7" s="7" t="inlineStr">
        <is>
          <t>Step 1</t>
        </is>
      </c>
      <c r="D7" s="7" t="inlineStr">
        <is>
          <t>Step 2</t>
        </is>
      </c>
      <c r="E7" s="7" t="inlineStr">
        <is>
          <t>Material (RUB/m2)</t>
        </is>
      </c>
      <c r="F7" s="7" t="inlineStr">
        <is>
          <t>Labor (RUB/m2)</t>
        </is>
      </c>
      <c r="G7" s="7" t="inlineStr">
        <is>
          <t>Material total (RUB)</t>
        </is>
      </c>
      <c r="H7" s="7" t="inlineStr">
        <is>
          <t>Labor total (RUB)</t>
        </is>
      </c>
      <c r="I7" s="7" t="inlineStr">
        <is>
          <t>1st cycle cost (RUB)</t>
        </is>
      </c>
      <c r="J7" s="7" t="inlineStr">
        <is>
          <t>Repaint cost (RUB)</t>
        </is>
      </c>
      <c r="K7" s="7" t="inlineStr">
        <is>
          <t>Service life (years)</t>
        </is>
      </c>
      <c r="L7" s="7" t="inlineStr">
        <is>
          <t>Cycles</t>
        </is>
      </c>
      <c r="M7" s="7" t="inlineStr">
        <is>
          <t>TCO for 10 yrs (RUB)</t>
        </is>
      </c>
      <c r="N7" s="7" t="inlineStr">
        <is>
          <t>Savings vs max (RUB)</t>
        </is>
      </c>
      <c r="O7" s="7" t="inlineStr">
        <is>
          <t>Savings vs max (%)</t>
        </is>
      </c>
    </row>
    <row r="8" ht="22" customHeight="1">
      <c r="B8" s="9" t="inlineStr">
        <is>
          <t>Economy: GF-021 + PF-115 ProstoKRASKA</t>
        </is>
      </c>
      <c r="C8" s="9" t="inlineStr">
        <is>
          <t>Primer GF-021</t>
        </is>
      </c>
      <c r="D8" s="9" t="inlineStr">
        <is>
          <t>Enamel PF-115 ProstoKRASKA</t>
        </is>
      </c>
      <c r="E8" s="10" t="n">
        <v>30.28</v>
      </c>
      <c r="F8" s="10" t="n">
        <v>550</v>
      </c>
      <c r="G8" s="10" t="n">
        <v>484</v>
      </c>
      <c r="H8" s="10" t="n">
        <v>8800</v>
      </c>
      <c r="I8" s="10" t="n">
        <v>9284</v>
      </c>
      <c r="J8" s="10" t="n">
        <v>6346</v>
      </c>
      <c r="K8" s="9" t="n">
        <v>3</v>
      </c>
      <c r="L8" s="18" t="n">
        <v>4</v>
      </c>
      <c r="M8" s="14" t="n">
        <v>28321</v>
      </c>
      <c r="N8" s="18" t="n">
        <v>0</v>
      </c>
      <c r="O8" s="19" t="n">
        <v>0</v>
      </c>
    </row>
    <row r="9" ht="22" customHeight="1">
      <c r="B9" s="12" t="inlineStr">
        <is>
          <t>Mid: GF-021 + PF-115 OREOL Premium</t>
        </is>
      </c>
      <c r="C9" s="12" t="inlineStr">
        <is>
          <t>Primer GF-021</t>
        </is>
      </c>
      <c r="D9" s="12" t="inlineStr">
        <is>
          <t>Enamel PF-115 OREOL Premium</t>
        </is>
      </c>
      <c r="E9" s="13" t="n">
        <v>61.7</v>
      </c>
      <c r="F9" s="13" t="n">
        <v>550</v>
      </c>
      <c r="G9" s="13" t="n">
        <v>987</v>
      </c>
      <c r="H9" s="13" t="n">
        <v>8800</v>
      </c>
      <c r="I9" s="13" t="n">
        <v>9787</v>
      </c>
      <c r="J9" s="13" t="n">
        <v>6848</v>
      </c>
      <c r="K9" s="12" t="n">
        <v>5</v>
      </c>
      <c r="L9" s="20" t="n">
        <v>2</v>
      </c>
      <c r="M9" s="15" t="n">
        <v>16636</v>
      </c>
      <c r="N9" s="20" t="n">
        <v>11685</v>
      </c>
      <c r="O9" s="21" t="n">
        <v>0.4125913632993185</v>
      </c>
    </row>
    <row r="12" ht="28" customHeight="1">
      <c r="B12" s="16" t="inlineStr">
        <is>
          <t>Chain 2. Fast metal painting (3v1)  [Metal]  Priority: HIGH</t>
        </is>
      </c>
    </row>
    <row r="13">
      <c r="B13" s="6" t="inlineStr">
        <is>
          <t>Problem: No time to prime - need to paint rusty fence in one pass.</t>
        </is>
      </c>
    </row>
    <row r="14">
      <c r="B14" s="17" t="inlineStr">
        <is>
          <t>Object: Metal fence | Area: 30 m2 | Horizon: 10 years</t>
        </is>
      </c>
    </row>
    <row r="15" ht="28" customHeight="1">
      <c r="B15" s="7" t="inlineStr">
        <is>
          <t>Variant</t>
        </is>
      </c>
      <c r="C15" s="7" t="inlineStr">
        <is>
          <t>Step 1</t>
        </is>
      </c>
      <c r="D15" s="7" t="inlineStr">
        <is>
          <t>Step 2</t>
        </is>
      </c>
      <c r="E15" s="7" t="inlineStr">
        <is>
          <t>Material (RUB/m2)</t>
        </is>
      </c>
      <c r="F15" s="7" t="inlineStr">
        <is>
          <t>Labor (RUB/m2)</t>
        </is>
      </c>
      <c r="G15" s="7" t="inlineStr">
        <is>
          <t>Material total (RUB)</t>
        </is>
      </c>
      <c r="H15" s="7" t="inlineStr">
        <is>
          <t>Labor total (RUB)</t>
        </is>
      </c>
      <c r="I15" s="7" t="inlineStr">
        <is>
          <t>1st cycle cost (RUB)</t>
        </is>
      </c>
      <c r="J15" s="7" t="inlineStr">
        <is>
          <t>Repaint cost (RUB)</t>
        </is>
      </c>
      <c r="K15" s="7" t="inlineStr">
        <is>
          <t>Service life (years)</t>
        </is>
      </c>
      <c r="L15" s="7" t="inlineStr">
        <is>
          <t>Cycles</t>
        </is>
      </c>
      <c r="M15" s="7" t="inlineStr">
        <is>
          <t>TCO for 10 yrs (RUB)</t>
        </is>
      </c>
      <c r="N15" s="7" t="inlineStr">
        <is>
          <t>Savings vs max (RUB)</t>
        </is>
      </c>
      <c r="O15" s="7" t="inlineStr">
        <is>
          <t>Savings vs max (%)</t>
        </is>
      </c>
    </row>
    <row r="16" ht="22" customHeight="1">
      <c r="B16" s="9" t="inlineStr">
        <is>
          <t>3v1 OREOL</t>
        </is>
      </c>
      <c r="C16" s="9" t="inlineStr">
        <is>
          <t>Primer-enamel 3v1 OREOL</t>
        </is>
      </c>
      <c r="D16" s="9" t="inlineStr">
        <is>
          <t>-</t>
        </is>
      </c>
      <c r="E16" s="10" t="n">
        <v>43</v>
      </c>
      <c r="F16" s="10" t="n">
        <v>300</v>
      </c>
      <c r="G16" s="10" t="n">
        <v>1290</v>
      </c>
      <c r="H16" s="10" t="n">
        <v>9000</v>
      </c>
      <c r="I16" s="10" t="n">
        <v>10290</v>
      </c>
      <c r="J16" s="10" t="n">
        <v>10290</v>
      </c>
      <c r="K16" s="9" t="n">
        <v>4</v>
      </c>
      <c r="L16" s="18" t="n">
        <v>3</v>
      </c>
      <c r="M16" s="14" t="n">
        <v>30870</v>
      </c>
      <c r="N16" s="18" t="n">
        <v>0</v>
      </c>
      <c r="O16" s="19" t="n">
        <v>0</v>
      </c>
    </row>
    <row r="17" ht="22" customHeight="1">
      <c r="B17" s="12" t="inlineStr">
        <is>
          <t>Paint Lab</t>
        </is>
      </c>
      <c r="C17" s="12" t="inlineStr">
        <is>
          <t>Primer-enamel Paint Lab</t>
        </is>
      </c>
      <c r="D17" s="12" t="inlineStr">
        <is>
          <t>-</t>
        </is>
      </c>
      <c r="E17" s="13" t="n">
        <v>58.9</v>
      </c>
      <c r="F17" s="13" t="n">
        <v>300</v>
      </c>
      <c r="G17" s="13" t="n">
        <v>1767</v>
      </c>
      <c r="H17" s="13" t="n">
        <v>9000</v>
      </c>
      <c r="I17" s="13" t="n">
        <v>10767</v>
      </c>
      <c r="J17" s="13" t="n">
        <v>10767</v>
      </c>
      <c r="K17" s="12" t="n">
        <v>5</v>
      </c>
      <c r="L17" s="20" t="n">
        <v>2</v>
      </c>
      <c r="M17" s="15" t="n">
        <v>21534</v>
      </c>
      <c r="N17" s="20" t="n">
        <v>9336</v>
      </c>
      <c r="O17" s="21" t="n">
        <v>0.3024295432458698</v>
      </c>
    </row>
    <row r="18" ht="22" customHeight="1">
      <c r="B18" s="9" t="inlineStr">
        <is>
          <t>TITAN (premium)</t>
        </is>
      </c>
      <c r="C18" s="9" t="inlineStr">
        <is>
          <t>Primer-enamel TITAN</t>
        </is>
      </c>
      <c r="D18" s="9" t="inlineStr">
        <is>
          <t>-</t>
        </is>
      </c>
      <c r="E18" s="10" t="n">
        <v>109.8</v>
      </c>
      <c r="F18" s="10" t="n">
        <v>300</v>
      </c>
      <c r="G18" s="10" t="n">
        <v>3294</v>
      </c>
      <c r="H18" s="10" t="n">
        <v>9000</v>
      </c>
      <c r="I18" s="10" t="n">
        <v>12294</v>
      </c>
      <c r="J18" s="10" t="n">
        <v>12294</v>
      </c>
      <c r="K18" s="9" t="n">
        <v>8</v>
      </c>
      <c r="L18" s="18" t="n">
        <v>2</v>
      </c>
      <c r="M18" s="14" t="n">
        <v>24588</v>
      </c>
      <c r="N18" s="18" t="n">
        <v>6282</v>
      </c>
      <c r="O18" s="19" t="n">
        <v>0.2034985422740525</v>
      </c>
    </row>
    <row r="21" ht="28" customHeight="1">
      <c r="B21" s="16" t="inlineStr">
        <is>
          <t>Chain 3. Premium metal painting by RAL  [Metal]  Priority: HIGH</t>
        </is>
      </c>
    </row>
    <row r="22">
      <c r="B22" s="6" t="inlineStr">
        <is>
          <t>Problem: Need exact RAL color for gates, fences, equipment.</t>
        </is>
      </c>
    </row>
    <row r="23">
      <c r="B23" s="17" t="inlineStr">
        <is>
          <t>Object: Metal gate | Area: 16 m2 | Horizon: 10 years</t>
        </is>
      </c>
    </row>
    <row r="24" ht="28" customHeight="1">
      <c r="B24" s="7" t="inlineStr">
        <is>
          <t>Variant</t>
        </is>
      </c>
      <c r="C24" s="7" t="inlineStr">
        <is>
          <t>Step 1</t>
        </is>
      </c>
      <c r="D24" s="7" t="inlineStr">
        <is>
          <t>Step 2</t>
        </is>
      </c>
      <c r="E24" s="7" t="inlineStr">
        <is>
          <t>Material (RUB/m2)</t>
        </is>
      </c>
      <c r="F24" s="7" t="inlineStr">
        <is>
          <t>Labor (RUB/m2)</t>
        </is>
      </c>
      <c r="G24" s="7" t="inlineStr">
        <is>
          <t>Material total (RUB)</t>
        </is>
      </c>
      <c r="H24" s="7" t="inlineStr">
        <is>
          <t>Labor total (RUB)</t>
        </is>
      </c>
      <c r="I24" s="7" t="inlineStr">
        <is>
          <t>1st cycle cost (RUB)</t>
        </is>
      </c>
      <c r="J24" s="7" t="inlineStr">
        <is>
          <t>Repaint cost (RUB)</t>
        </is>
      </c>
      <c r="K24" s="7" t="inlineStr">
        <is>
          <t>Service life (years)</t>
        </is>
      </c>
      <c r="L24" s="7" t="inlineStr">
        <is>
          <t>Cycles</t>
        </is>
      </c>
      <c r="M24" s="7" t="inlineStr">
        <is>
          <t>TCO for 10 yrs (RUB)</t>
        </is>
      </c>
      <c r="N24" s="7" t="inlineStr">
        <is>
          <t>Savings vs max (RUB)</t>
        </is>
      </c>
      <c r="O24" s="7" t="inlineStr">
        <is>
          <t>Savings vs max (%)</t>
        </is>
      </c>
    </row>
    <row r="25" ht="22" customHeight="1">
      <c r="B25" s="9" t="inlineStr">
        <is>
          <t>TITAN (primer-enamel on rust)</t>
        </is>
      </c>
      <c r="C25" s="9" t="inlineStr">
        <is>
          <t>Primer-enamel TITAN</t>
        </is>
      </c>
      <c r="D25" s="9" t="inlineStr">
        <is>
          <t>-</t>
        </is>
      </c>
      <c r="E25" s="10" t="n">
        <v>109.8</v>
      </c>
      <c r="F25" s="10" t="n">
        <v>300</v>
      </c>
      <c r="G25" s="10" t="n">
        <v>1757</v>
      </c>
      <c r="H25" s="10" t="n">
        <v>4800</v>
      </c>
      <c r="I25" s="10" t="n">
        <v>6557</v>
      </c>
      <c r="J25" s="10" t="n">
        <v>6557</v>
      </c>
      <c r="K25" s="9" t="n">
        <v>8</v>
      </c>
      <c r="L25" s="18" t="n">
        <v>2</v>
      </c>
      <c r="M25" s="14" t="n">
        <v>13114</v>
      </c>
      <c r="N25" s="18" t="n">
        <v>0</v>
      </c>
      <c r="O25" s="19" t="n">
        <v>0</v>
      </c>
    </row>
    <row r="28" ht="28" customHeight="1">
      <c r="B28" s="16" t="inlineStr">
        <is>
          <t>Chain 4. Modern metal painting - Paint Lab  [Metal]  Priority: MEDIUM</t>
        </is>
      </c>
    </row>
    <row r="29">
      <c r="B29" s="6" t="inlineStr">
        <is>
          <t>Problem: Want something trendier than classic, without TITAN premium.</t>
        </is>
      </c>
    </row>
    <row r="30">
      <c r="B30" s="17" t="inlineStr">
        <is>
          <t>Object: Metal fence | Area: 30 m2 | Horizon: 10 years</t>
        </is>
      </c>
    </row>
    <row r="31" ht="28" customHeight="1">
      <c r="B31" s="7" t="inlineStr">
        <is>
          <t>Variant</t>
        </is>
      </c>
      <c r="C31" s="7" t="inlineStr">
        <is>
          <t>Step 1</t>
        </is>
      </c>
      <c r="D31" s="7" t="inlineStr">
        <is>
          <t>Step 2</t>
        </is>
      </c>
      <c r="E31" s="7" t="inlineStr">
        <is>
          <t>Material (RUB/m2)</t>
        </is>
      </c>
      <c r="F31" s="7" t="inlineStr">
        <is>
          <t>Labor (RUB/m2)</t>
        </is>
      </c>
      <c r="G31" s="7" t="inlineStr">
        <is>
          <t>Material total (RUB)</t>
        </is>
      </c>
      <c r="H31" s="7" t="inlineStr">
        <is>
          <t>Labor total (RUB)</t>
        </is>
      </c>
      <c r="I31" s="7" t="inlineStr">
        <is>
          <t>1st cycle cost (RUB)</t>
        </is>
      </c>
      <c r="J31" s="7" t="inlineStr">
        <is>
          <t>Repaint cost (RUB)</t>
        </is>
      </c>
      <c r="K31" s="7" t="inlineStr">
        <is>
          <t>Service life (years)</t>
        </is>
      </c>
      <c r="L31" s="7" t="inlineStr">
        <is>
          <t>Cycles</t>
        </is>
      </c>
      <c r="M31" s="7" t="inlineStr">
        <is>
          <t>TCO for 10 yrs (RUB)</t>
        </is>
      </c>
      <c r="N31" s="7" t="inlineStr">
        <is>
          <t>Savings vs max (RUB)</t>
        </is>
      </c>
      <c r="O31" s="7" t="inlineStr">
        <is>
          <t>Savings vs max (%)</t>
        </is>
      </c>
    </row>
    <row r="32" ht="22" customHeight="1">
      <c r="B32" s="9" t="inlineStr">
        <is>
          <t>Paint Lab</t>
        </is>
      </c>
      <c r="C32" s="9" t="inlineStr">
        <is>
          <t>Primer-enamel Paint Lab</t>
        </is>
      </c>
      <c r="D32" s="9" t="inlineStr">
        <is>
          <t>-</t>
        </is>
      </c>
      <c r="E32" s="10" t="n">
        <v>58.9</v>
      </c>
      <c r="F32" s="10" t="n">
        <v>300</v>
      </c>
      <c r="G32" s="10" t="n">
        <v>1767</v>
      </c>
      <c r="H32" s="10" t="n">
        <v>9000</v>
      </c>
      <c r="I32" s="10" t="n">
        <v>10767</v>
      </c>
      <c r="J32" s="10" t="n">
        <v>10767</v>
      </c>
      <c r="K32" s="9" t="n">
        <v>5</v>
      </c>
      <c r="L32" s="18" t="n">
        <v>2</v>
      </c>
      <c r="M32" s="14" t="n">
        <v>21534</v>
      </c>
      <c r="N32" s="18" t="n">
        <v>0</v>
      </c>
      <c r="O32" s="19" t="n">
        <v>0</v>
      </c>
    </row>
    <row r="35" ht="28" customHeight="1">
      <c r="B35" s="16" t="inlineStr">
        <is>
          <t>Chain 5. Concrete floor: no dust, no wear  [Floors]  Priority: HIGH</t>
        </is>
      </c>
    </row>
    <row r="36">
      <c r="B36" s="6" t="inlineStr">
        <is>
          <t>Problem: Concrete floor dusts, absorbs oil, crumbles.</t>
        </is>
      </c>
    </row>
    <row r="37">
      <c r="B37" s="17" t="inlineStr">
        <is>
          <t>Object: Garage floor (concrete) | Area: 20 m2 | Horizon: 10 years</t>
        </is>
      </c>
    </row>
    <row r="38" ht="28" customHeight="1">
      <c r="B38" s="7" t="inlineStr">
        <is>
          <t>Variant</t>
        </is>
      </c>
      <c r="C38" s="7" t="inlineStr">
        <is>
          <t>Step 1</t>
        </is>
      </c>
      <c r="D38" s="7" t="inlineStr">
        <is>
          <t>Step 2</t>
        </is>
      </c>
      <c r="E38" s="7" t="inlineStr">
        <is>
          <t>Material (RUB/m2)</t>
        </is>
      </c>
      <c r="F38" s="7" t="inlineStr">
        <is>
          <t>Labor (RUB/m2)</t>
        </is>
      </c>
      <c r="G38" s="7" t="inlineStr">
        <is>
          <t>Material total (RUB)</t>
        </is>
      </c>
      <c r="H38" s="7" t="inlineStr">
        <is>
          <t>Labor total (RUB)</t>
        </is>
      </c>
      <c r="I38" s="7" t="inlineStr">
        <is>
          <t>1st cycle cost (RUB)</t>
        </is>
      </c>
      <c r="J38" s="7" t="inlineStr">
        <is>
          <t>Repaint cost (RUB)</t>
        </is>
      </c>
      <c r="K38" s="7" t="inlineStr">
        <is>
          <t>Service life (years)</t>
        </is>
      </c>
      <c r="L38" s="7" t="inlineStr">
        <is>
          <t>Cycles</t>
        </is>
      </c>
      <c r="M38" s="7" t="inlineStr">
        <is>
          <t>TCO for 10 yrs (RUB)</t>
        </is>
      </c>
      <c r="N38" s="7" t="inlineStr">
        <is>
          <t>Savings vs max (RUB)</t>
        </is>
      </c>
      <c r="O38" s="7" t="inlineStr">
        <is>
          <t>Savings vs max (%)</t>
        </is>
      </c>
    </row>
    <row r="39" ht="22" customHeight="1">
      <c r="B39" s="9" t="inlineStr">
        <is>
          <t>Economy: Ratsvet only (no primer)</t>
        </is>
      </c>
      <c r="C39" s="9" t="inlineStr">
        <is>
          <t>Floor enamel Ratsvet</t>
        </is>
      </c>
      <c r="D39" s="9" t="inlineStr">
        <is>
          <t>-</t>
        </is>
      </c>
      <c r="E39" s="10" t="n">
        <v>72.58</v>
      </c>
      <c r="F39" s="10" t="n">
        <v>280</v>
      </c>
      <c r="G39" s="10" t="n">
        <v>1452</v>
      </c>
      <c r="H39" s="10" t="n">
        <v>5600</v>
      </c>
      <c r="I39" s="10" t="n">
        <v>7052</v>
      </c>
      <c r="J39" s="10" t="n">
        <v>7052</v>
      </c>
      <c r="K39" s="9" t="n">
        <v>4</v>
      </c>
      <c r="L39" s="18" t="n">
        <v>3</v>
      </c>
      <c r="M39" s="14" t="n">
        <v>21155</v>
      </c>
      <c r="N39" s="18" t="n">
        <v>0</v>
      </c>
      <c r="O39" s="19" t="n">
        <v>0</v>
      </c>
    </row>
    <row r="40" ht="22" customHeight="1">
      <c r="B40" s="12" t="inlineStr">
        <is>
          <t>Recommended: GF-021 + Ratsvet</t>
        </is>
      </c>
      <c r="C40" s="12" t="inlineStr">
        <is>
          <t>Primer GF-021</t>
        </is>
      </c>
      <c r="D40" s="12" t="inlineStr">
        <is>
          <t>Floor enamel Ratsvet</t>
        </is>
      </c>
      <c r="E40" s="13" t="n">
        <v>49</v>
      </c>
      <c r="F40" s="13" t="n">
        <v>530</v>
      </c>
      <c r="G40" s="13" t="n">
        <v>980</v>
      </c>
      <c r="H40" s="13" t="n">
        <v>10600</v>
      </c>
      <c r="I40" s="13" t="n">
        <v>11580</v>
      </c>
      <c r="J40" s="13" t="n">
        <v>7906</v>
      </c>
      <c r="K40" s="12" t="n">
        <v>7</v>
      </c>
      <c r="L40" s="20" t="n">
        <v>2</v>
      </c>
      <c r="M40" s="15" t="n">
        <v>19486</v>
      </c>
      <c r="N40" s="20" t="n">
        <v>1669</v>
      </c>
      <c r="O40" s="21" t="n">
        <v>0.07889387851571733</v>
      </c>
    </row>
    <row r="43" ht="28" customHeight="1">
      <c r="B43" s="16" t="inlineStr">
        <is>
          <t>Chain 6. Outdoor wood: fence, terrace  [Wood (exterior)]  Priority: MEDIUM</t>
        </is>
      </c>
    </row>
    <row r="44">
      <c r="B44" s="6" t="inlineStr">
        <is>
          <t>Problem: Wooden fence/terrace grays, swells, cracks.</t>
        </is>
      </c>
    </row>
    <row r="45">
      <c r="B45" s="17" t="inlineStr">
        <is>
          <t>Object: Wooden fence | Area: 40 m2 | Horizon: 10 years</t>
        </is>
      </c>
    </row>
    <row r="46" ht="28" customHeight="1">
      <c r="B46" s="7" t="inlineStr">
        <is>
          <t>Variant</t>
        </is>
      </c>
      <c r="C46" s="7" t="inlineStr">
        <is>
          <t>Step 1</t>
        </is>
      </c>
      <c r="D46" s="7" t="inlineStr">
        <is>
          <t>Step 2</t>
        </is>
      </c>
      <c r="E46" s="7" t="inlineStr">
        <is>
          <t>Material (RUB/m2)</t>
        </is>
      </c>
      <c r="F46" s="7" t="inlineStr">
        <is>
          <t>Labor (RUB/m2)</t>
        </is>
      </c>
      <c r="G46" s="7" t="inlineStr">
        <is>
          <t>Material total (RUB)</t>
        </is>
      </c>
      <c r="H46" s="7" t="inlineStr">
        <is>
          <t>Labor total (RUB)</t>
        </is>
      </c>
      <c r="I46" s="7" t="inlineStr">
        <is>
          <t>1st cycle cost (RUB)</t>
        </is>
      </c>
      <c r="J46" s="7" t="inlineStr">
        <is>
          <t>Repaint cost (RUB)</t>
        </is>
      </c>
      <c r="K46" s="7" t="inlineStr">
        <is>
          <t>Service life (years)</t>
        </is>
      </c>
      <c r="L46" s="7" t="inlineStr">
        <is>
          <t>Cycles</t>
        </is>
      </c>
      <c r="M46" s="7" t="inlineStr">
        <is>
          <t>TCO for 10 yrs (RUB)</t>
        </is>
      </c>
      <c r="N46" s="7" t="inlineStr">
        <is>
          <t>Savings vs max (RUB)</t>
        </is>
      </c>
      <c r="O46" s="7" t="inlineStr">
        <is>
          <t>Savings vs max (%)</t>
        </is>
      </c>
    </row>
    <row r="47" ht="22" customHeight="1">
      <c r="B47" s="9" t="inlineStr">
        <is>
          <t>Economy: MONLID</t>
        </is>
      </c>
      <c r="C47" s="9" t="inlineStr">
        <is>
          <t>Yacht varnish MONLID</t>
        </is>
      </c>
      <c r="D47" s="9" t="inlineStr">
        <is>
          <t>-</t>
        </is>
      </c>
      <c r="E47" s="10" t="n">
        <v>85.05</v>
      </c>
      <c r="F47" s="10" t="n">
        <v>300</v>
      </c>
      <c r="G47" s="10" t="n">
        <v>3402</v>
      </c>
      <c r="H47" s="10" t="n">
        <v>12000</v>
      </c>
      <c r="I47" s="10" t="n">
        <v>15402</v>
      </c>
      <c r="J47" s="10" t="n">
        <v>15402</v>
      </c>
      <c r="K47" s="9" t="n">
        <v>4</v>
      </c>
      <c r="L47" s="18" t="n">
        <v>3</v>
      </c>
      <c r="M47" s="14" t="n">
        <v>46206</v>
      </c>
      <c r="N47" s="18" t="n">
        <v>0</v>
      </c>
      <c r="O47" s="19" t="n">
        <v>0</v>
      </c>
    </row>
    <row r="48" ht="22" customHeight="1">
      <c r="B48" s="12" t="inlineStr">
        <is>
          <t>Mid+: Luxens</t>
        </is>
      </c>
      <c r="C48" s="12" t="inlineStr">
        <is>
          <t>Yacht varnish Luxens</t>
        </is>
      </c>
      <c r="D48" s="12" t="inlineStr">
        <is>
          <t>-</t>
        </is>
      </c>
      <c r="E48" s="13" t="n">
        <v>113.73</v>
      </c>
      <c r="F48" s="13" t="n">
        <v>300</v>
      </c>
      <c r="G48" s="13" t="n">
        <v>4549</v>
      </c>
      <c r="H48" s="13" t="n">
        <v>12000</v>
      </c>
      <c r="I48" s="13" t="n">
        <v>16549</v>
      </c>
      <c r="J48" s="13" t="n">
        <v>16549</v>
      </c>
      <c r="K48" s="12" t="n">
        <v>6</v>
      </c>
      <c r="L48" s="20" t="n">
        <v>2</v>
      </c>
      <c r="M48" s="15" t="n">
        <v>33098</v>
      </c>
      <c r="N48" s="20" t="n">
        <v>13108</v>
      </c>
      <c r="O48" s="21" t="n">
        <v>0.2836861013721162</v>
      </c>
    </row>
    <row r="51" ht="28" customHeight="1">
      <c r="B51" s="16" t="inlineStr">
        <is>
          <t>Chain 7. Parquet and wooden floor indoors  [Wood (interior)]  Priority: LOW</t>
        </is>
      </c>
    </row>
    <row r="52">
      <c r="B52" s="6" t="inlineStr">
        <is>
          <t>Problem: Parquet wears, scratches, dulls. Regular varnishes yellow.</t>
        </is>
      </c>
    </row>
    <row r="53">
      <c r="B53" s="17" t="inlineStr">
        <is>
          <t>Object: Terrace / balcony | Area: 15 m2 | Horizon: 10 years</t>
        </is>
      </c>
    </row>
    <row r="54" ht="28" customHeight="1">
      <c r="B54" s="7" t="inlineStr">
        <is>
          <t>Variant</t>
        </is>
      </c>
      <c r="C54" s="7" t="inlineStr">
        <is>
          <t>Step 1</t>
        </is>
      </c>
      <c r="D54" s="7" t="inlineStr">
        <is>
          <t>Step 2</t>
        </is>
      </c>
      <c r="E54" s="7" t="inlineStr">
        <is>
          <t>Material (RUB/m2)</t>
        </is>
      </c>
      <c r="F54" s="7" t="inlineStr">
        <is>
          <t>Labor (RUB/m2)</t>
        </is>
      </c>
      <c r="G54" s="7" t="inlineStr">
        <is>
          <t>Material total (RUB)</t>
        </is>
      </c>
      <c r="H54" s="7" t="inlineStr">
        <is>
          <t>Labor total (RUB)</t>
        </is>
      </c>
      <c r="I54" s="7" t="inlineStr">
        <is>
          <t>1st cycle cost (RUB)</t>
        </is>
      </c>
      <c r="J54" s="7" t="inlineStr">
        <is>
          <t>Repaint cost (RUB)</t>
        </is>
      </c>
      <c r="K54" s="7" t="inlineStr">
        <is>
          <t>Service life (years)</t>
        </is>
      </c>
      <c r="L54" s="7" t="inlineStr">
        <is>
          <t>Cycles</t>
        </is>
      </c>
      <c r="M54" s="7" t="inlineStr">
        <is>
          <t>TCO for 10 yrs (RUB)</t>
        </is>
      </c>
      <c r="N54" s="7" t="inlineStr">
        <is>
          <t>Savings vs max (RUB)</t>
        </is>
      </c>
      <c r="O54" s="7" t="inlineStr">
        <is>
          <t>Savings vs max (%)</t>
        </is>
      </c>
    </row>
    <row r="55" ht="22" customHeight="1">
      <c r="B55" s="9" t="inlineStr">
        <is>
          <t>Premium: AVANTGARDE</t>
        </is>
      </c>
      <c r="C55" s="9" t="inlineStr">
        <is>
          <t>Parquet varnish AVANTGARDE</t>
        </is>
      </c>
      <c r="D55" s="9" t="inlineStr">
        <is>
          <t>-</t>
        </is>
      </c>
      <c r="E55" s="10" t="n">
        <v>240</v>
      </c>
      <c r="F55" s="10" t="n">
        <v>350</v>
      </c>
      <c r="G55" s="10" t="n">
        <v>3600</v>
      </c>
      <c r="H55" s="10" t="n">
        <v>5250</v>
      </c>
      <c r="I55" s="10" t="n">
        <v>8850</v>
      </c>
      <c r="J55" s="10" t="n">
        <v>8850</v>
      </c>
      <c r="K55" s="9" t="n">
        <v>7</v>
      </c>
      <c r="L55" s="18" t="n">
        <v>2</v>
      </c>
      <c r="M55" s="14" t="n">
        <v>17700</v>
      </c>
      <c r="N55" s="18" t="n">
        <v>0</v>
      </c>
      <c r="O55" s="19" t="n">
        <v>0</v>
      </c>
    </row>
    <row r="58" ht="28" customHeight="1">
      <c r="B58" s="16" t="inlineStr">
        <is>
          <t>Chain 8. Smooth ceiling without streaks  [Ceilings]  Priority: LOW</t>
        </is>
      </c>
    </row>
    <row r="59">
      <c r="B59" s="6" t="inlineStr">
        <is>
          <t>Problem: Ceiling paint leaves streaks, roller marks visible.</t>
        </is>
      </c>
    </row>
    <row r="60">
      <c r="B60" s="17" t="inlineStr">
        <is>
          <t>Object: Ceiling | Area: 20 m2 | Horizon: 10 years</t>
        </is>
      </c>
    </row>
    <row r="61" ht="28" customHeight="1">
      <c r="B61" s="7" t="inlineStr">
        <is>
          <t>Variant</t>
        </is>
      </c>
      <c r="C61" s="7" t="inlineStr">
        <is>
          <t>Step 1</t>
        </is>
      </c>
      <c r="D61" s="7" t="inlineStr">
        <is>
          <t>Step 2</t>
        </is>
      </c>
      <c r="E61" s="7" t="inlineStr">
        <is>
          <t>Material (RUB/m2)</t>
        </is>
      </c>
      <c r="F61" s="7" t="inlineStr">
        <is>
          <t>Labor (RUB/m2)</t>
        </is>
      </c>
      <c r="G61" s="7" t="inlineStr">
        <is>
          <t>Material total (RUB)</t>
        </is>
      </c>
      <c r="H61" s="7" t="inlineStr">
        <is>
          <t>Labor total (RUB)</t>
        </is>
      </c>
      <c r="I61" s="7" t="inlineStr">
        <is>
          <t>1st cycle cost (RUB)</t>
        </is>
      </c>
      <c r="J61" s="7" t="inlineStr">
        <is>
          <t>Repaint cost (RUB)</t>
        </is>
      </c>
      <c r="K61" s="7" t="inlineStr">
        <is>
          <t>Service life (years)</t>
        </is>
      </c>
      <c r="L61" s="7" t="inlineStr">
        <is>
          <t>Cycles</t>
        </is>
      </c>
      <c r="M61" s="7" t="inlineStr">
        <is>
          <t>TCO for 10 yrs (RUB)</t>
        </is>
      </c>
      <c r="N61" s="7" t="inlineStr">
        <is>
          <t>Savings vs max (RUB)</t>
        </is>
      </c>
      <c r="O61" s="7" t="inlineStr">
        <is>
          <t>Savings vs max (%)</t>
        </is>
      </c>
    </row>
    <row r="62" ht="22" customHeight="1">
      <c r="B62" s="9" t="inlineStr">
        <is>
          <t>No primer: paint only</t>
        </is>
      </c>
      <c r="C62" s="9" t="inlineStr">
        <is>
          <t>VD ceiling paint</t>
        </is>
      </c>
      <c r="D62" s="9" t="inlineStr">
        <is>
          <t>-</t>
        </is>
      </c>
      <c r="E62" s="10" t="n">
        <v>34.71</v>
      </c>
      <c r="F62" s="10" t="n">
        <v>220</v>
      </c>
      <c r="G62" s="10" t="n">
        <v>694</v>
      </c>
      <c r="H62" s="10" t="n">
        <v>4400</v>
      </c>
      <c r="I62" s="10" t="n">
        <v>5094</v>
      </c>
      <c r="J62" s="10" t="n">
        <v>5094</v>
      </c>
      <c r="K62" s="9" t="n">
        <v>4</v>
      </c>
      <c r="L62" s="18" t="n">
        <v>3</v>
      </c>
      <c r="M62" s="14" t="n">
        <v>15283</v>
      </c>
      <c r="N62" s="18" t="n">
        <v>0</v>
      </c>
      <c r="O62" s="19" t="n">
        <v>0</v>
      </c>
    </row>
    <row r="63" ht="22" customHeight="1">
      <c r="B63" s="12" t="inlineStr">
        <is>
          <t>Recommended: primer + paint</t>
        </is>
      </c>
      <c r="C63" s="12" t="inlineStr">
        <is>
          <t>VD Primer</t>
        </is>
      </c>
      <c r="D63" s="12" t="inlineStr">
        <is>
          <t>VD ceiling paint</t>
        </is>
      </c>
      <c r="E63" s="13" t="n">
        <v>26.24</v>
      </c>
      <c r="F63" s="13" t="n">
        <v>400</v>
      </c>
      <c r="G63" s="13" t="n">
        <v>525</v>
      </c>
      <c r="H63" s="13" t="n">
        <v>8000</v>
      </c>
      <c r="I63" s="13" t="n">
        <v>8525</v>
      </c>
      <c r="J63" s="13" t="n">
        <v>5943</v>
      </c>
      <c r="K63" s="12" t="n">
        <v>7</v>
      </c>
      <c r="L63" s="20" t="n">
        <v>2</v>
      </c>
      <c r="M63" s="15" t="n">
        <v>14468</v>
      </c>
      <c r="N63" s="20" t="n">
        <v>815</v>
      </c>
      <c r="O63" s="21" t="n">
        <v>0.05332722632990905</v>
      </c>
    </row>
    <row r="66" ht="28" customHeight="1">
      <c r="B66" s="16" t="inlineStr">
        <is>
          <t>Chain 9. Washable walls  [Interior]  Priority: LOW</t>
        </is>
      </c>
    </row>
    <row r="67">
      <c r="B67" s="6" t="inlineStr">
        <is>
          <t>Problem: Walls get dirty, regular paint dissolves when washed.</t>
        </is>
      </c>
    </row>
    <row r="68">
      <c r="B68" s="17" t="inlineStr">
        <is>
          <t>Object: Walls (corridor/kitchen) | Area: 50 m2 | Horizon: 10 years</t>
        </is>
      </c>
    </row>
    <row r="69" ht="28" customHeight="1">
      <c r="B69" s="7" t="inlineStr">
        <is>
          <t>Variant</t>
        </is>
      </c>
      <c r="C69" s="7" t="inlineStr">
        <is>
          <t>Step 1</t>
        </is>
      </c>
      <c r="D69" s="7" t="inlineStr">
        <is>
          <t>Step 2</t>
        </is>
      </c>
      <c r="E69" s="7" t="inlineStr">
        <is>
          <t>Material (RUB/m2)</t>
        </is>
      </c>
      <c r="F69" s="7" t="inlineStr">
        <is>
          <t>Labor (RUB/m2)</t>
        </is>
      </c>
      <c r="G69" s="7" t="inlineStr">
        <is>
          <t>Material total (RUB)</t>
        </is>
      </c>
      <c r="H69" s="7" t="inlineStr">
        <is>
          <t>Labor total (RUB)</t>
        </is>
      </c>
      <c r="I69" s="7" t="inlineStr">
        <is>
          <t>1st cycle cost (RUB)</t>
        </is>
      </c>
      <c r="J69" s="7" t="inlineStr">
        <is>
          <t>Repaint cost (RUB)</t>
        </is>
      </c>
      <c r="K69" s="7" t="inlineStr">
        <is>
          <t>Service life (years)</t>
        </is>
      </c>
      <c r="L69" s="7" t="inlineStr">
        <is>
          <t>Cycles</t>
        </is>
      </c>
      <c r="M69" s="7" t="inlineStr">
        <is>
          <t>TCO for 10 yrs (RUB)</t>
        </is>
      </c>
      <c r="N69" s="7" t="inlineStr">
        <is>
          <t>Savings vs max (RUB)</t>
        </is>
      </c>
      <c r="O69" s="7" t="inlineStr">
        <is>
          <t>Savings vs max (%)</t>
        </is>
      </c>
    </row>
    <row r="70" ht="22" customHeight="1">
      <c r="B70" s="9" t="inlineStr">
        <is>
          <t>No primer: paint only</t>
        </is>
      </c>
      <c r="C70" s="9" t="inlineStr">
        <is>
          <t>VD washable paint</t>
        </is>
      </c>
      <c r="D70" s="9" t="inlineStr">
        <is>
          <t>-</t>
        </is>
      </c>
      <c r="E70" s="10" t="n">
        <v>61.92</v>
      </c>
      <c r="F70" s="10" t="n">
        <v>220</v>
      </c>
      <c r="G70" s="10" t="n">
        <v>3096</v>
      </c>
      <c r="H70" s="10" t="n">
        <v>11000</v>
      </c>
      <c r="I70" s="10" t="n">
        <v>14096</v>
      </c>
      <c r="J70" s="10" t="n">
        <v>14096</v>
      </c>
      <c r="K70" s="9" t="n">
        <v>4</v>
      </c>
      <c r="L70" s="18" t="n">
        <v>3</v>
      </c>
      <c r="M70" s="14" t="n">
        <v>42288</v>
      </c>
      <c r="N70" s="18" t="n">
        <v>0</v>
      </c>
      <c r="O70" s="19" t="n">
        <v>0</v>
      </c>
    </row>
    <row r="71" ht="22" customHeight="1">
      <c r="B71" s="12" t="inlineStr">
        <is>
          <t>Recommended: primer + paint</t>
        </is>
      </c>
      <c r="C71" s="12" t="inlineStr">
        <is>
          <t>VD Primer</t>
        </is>
      </c>
      <c r="D71" s="12" t="inlineStr">
        <is>
          <t>VD washable paint</t>
        </is>
      </c>
      <c r="E71" s="13" t="n">
        <v>44.38</v>
      </c>
      <c r="F71" s="13" t="n">
        <v>400</v>
      </c>
      <c r="G71" s="13" t="n">
        <v>2219</v>
      </c>
      <c r="H71" s="13" t="n">
        <v>20000</v>
      </c>
      <c r="I71" s="13" t="n">
        <v>22219</v>
      </c>
      <c r="J71" s="13" t="n">
        <v>15764</v>
      </c>
      <c r="K71" s="12" t="n">
        <v>7</v>
      </c>
      <c r="L71" s="20" t="n">
        <v>2</v>
      </c>
      <c r="M71" s="15" t="n">
        <v>37983</v>
      </c>
      <c r="N71" s="20" t="n">
        <v>4305</v>
      </c>
      <c r="O71" s="21" t="n">
        <v>0.1018019296254257</v>
      </c>
    </row>
    <row r="74" ht="28" customHeight="1">
      <c r="B74" s="16" t="inlineStr">
        <is>
          <t>Chain 10. House facade painting  [Facade]  Priority: LOW</t>
        </is>
      </c>
    </row>
    <row r="75">
      <c r="B75" s="6" t="inlineStr">
        <is>
          <t>Problem: Facade cracked, faded, needs protection and color update.</t>
        </is>
      </c>
    </row>
    <row r="76">
      <c r="B76" s="17" t="inlineStr">
        <is>
          <t>Object: House facade | Area: 100 m2 | Horizon: 10 years</t>
        </is>
      </c>
    </row>
    <row r="77" ht="28" customHeight="1">
      <c r="B77" s="7" t="inlineStr">
        <is>
          <t>Variant</t>
        </is>
      </c>
      <c r="C77" s="7" t="inlineStr">
        <is>
          <t>Step 1</t>
        </is>
      </c>
      <c r="D77" s="7" t="inlineStr">
        <is>
          <t>Step 2</t>
        </is>
      </c>
      <c r="E77" s="7" t="inlineStr">
        <is>
          <t>Material (RUB/m2)</t>
        </is>
      </c>
      <c r="F77" s="7" t="inlineStr">
        <is>
          <t>Labor (RUB/m2)</t>
        </is>
      </c>
      <c r="G77" s="7" t="inlineStr">
        <is>
          <t>Material total (RUB)</t>
        </is>
      </c>
      <c r="H77" s="7" t="inlineStr">
        <is>
          <t>Labor total (RUB)</t>
        </is>
      </c>
      <c r="I77" s="7" t="inlineStr">
        <is>
          <t>1st cycle cost (RUB)</t>
        </is>
      </c>
      <c r="J77" s="7" t="inlineStr">
        <is>
          <t>Repaint cost (RUB)</t>
        </is>
      </c>
      <c r="K77" s="7" t="inlineStr">
        <is>
          <t>Service life (years)</t>
        </is>
      </c>
      <c r="L77" s="7" t="inlineStr">
        <is>
          <t>Cycles</t>
        </is>
      </c>
      <c r="M77" s="7" t="inlineStr">
        <is>
          <t>TCO for 10 yrs (RUB)</t>
        </is>
      </c>
      <c r="N77" s="7" t="inlineStr">
        <is>
          <t>Savings vs max (RUB)</t>
        </is>
      </c>
      <c r="O77" s="7" t="inlineStr">
        <is>
          <t>Savings vs max (%)</t>
        </is>
      </c>
    </row>
    <row r="78" ht="22" customHeight="1">
      <c r="B78" s="9" t="inlineStr">
        <is>
          <t>No primer: paint only</t>
        </is>
      </c>
      <c r="C78" s="9" t="inlineStr">
        <is>
          <t>VD facade paint</t>
        </is>
      </c>
      <c r="D78" s="9" t="inlineStr">
        <is>
          <t>-</t>
        </is>
      </c>
      <c r="E78" s="10" t="n">
        <v>80.34</v>
      </c>
      <c r="F78" s="10" t="n">
        <v>220</v>
      </c>
      <c r="G78" s="10" t="n">
        <v>8034</v>
      </c>
      <c r="H78" s="10" t="n">
        <v>22000</v>
      </c>
      <c r="I78" s="10" t="n">
        <v>30034</v>
      </c>
      <c r="J78" s="10" t="n">
        <v>30034</v>
      </c>
      <c r="K78" s="9" t="n">
        <v>4</v>
      </c>
      <c r="L78" s="18" t="n">
        <v>3</v>
      </c>
      <c r="M78" s="14" t="n">
        <v>90102</v>
      </c>
      <c r="N78" s="18" t="n">
        <v>0</v>
      </c>
      <c r="O78" s="19" t="n">
        <v>0</v>
      </c>
    </row>
    <row r="79" ht="22" customHeight="1">
      <c r="B79" s="12" t="inlineStr">
        <is>
          <t>Recommended: primer + paint</t>
        </is>
      </c>
      <c r="C79" s="12" t="inlineStr">
        <is>
          <t>VD Primer</t>
        </is>
      </c>
      <c r="D79" s="12" t="inlineStr">
        <is>
          <t>VD facade paint</t>
        </is>
      </c>
      <c r="E79" s="13" t="n">
        <v>56.66</v>
      </c>
      <c r="F79" s="13" t="n">
        <v>400</v>
      </c>
      <c r="G79" s="13" t="n">
        <v>5666</v>
      </c>
      <c r="H79" s="13" t="n">
        <v>40000</v>
      </c>
      <c r="I79" s="13" t="n">
        <v>45666</v>
      </c>
      <c r="J79" s="13" t="n">
        <v>32756</v>
      </c>
      <c r="K79" s="12" t="n">
        <v>6</v>
      </c>
      <c r="L79" s="20" t="n">
        <v>2</v>
      </c>
      <c r="M79" s="15" t="n">
        <v>78422</v>
      </c>
      <c r="N79" s="20" t="n">
        <v>11680</v>
      </c>
      <c r="O79" s="21" t="n">
        <v>0.1296308627999379</v>
      </c>
    </row>
    <row r="82" ht="28" customHeight="1">
      <c r="B82" s="16" t="inlineStr">
        <is>
          <t>Chain 11. Decorative wall with texture  [Interior / Decor]  Priority: LOW</t>
        </is>
      </c>
    </row>
    <row r="83">
      <c r="B83" s="6" t="inlineStr">
        <is>
          <t>Problem: Flat paint looks boring, want relief and texture.</t>
        </is>
      </c>
    </row>
    <row r="84">
      <c r="B84" s="17" t="inlineStr">
        <is>
          <t>Object: Decorative wall | Area: 20 m2 | Horizon: 10 years</t>
        </is>
      </c>
    </row>
    <row r="85" ht="28" customHeight="1">
      <c r="B85" s="7" t="inlineStr">
        <is>
          <t>Variant</t>
        </is>
      </c>
      <c r="C85" s="7" t="inlineStr">
        <is>
          <t>Step 1</t>
        </is>
      </c>
      <c r="D85" s="7" t="inlineStr">
        <is>
          <t>Step 2</t>
        </is>
      </c>
      <c r="E85" s="7" t="inlineStr">
        <is>
          <t>Material (RUB/m2)</t>
        </is>
      </c>
      <c r="F85" s="7" t="inlineStr">
        <is>
          <t>Labor (RUB/m2)</t>
        </is>
      </c>
      <c r="G85" s="7" t="inlineStr">
        <is>
          <t>Material total (RUB)</t>
        </is>
      </c>
      <c r="H85" s="7" t="inlineStr">
        <is>
          <t>Labor total (RUB)</t>
        </is>
      </c>
      <c r="I85" s="7" t="inlineStr">
        <is>
          <t>1st cycle cost (RUB)</t>
        </is>
      </c>
      <c r="J85" s="7" t="inlineStr">
        <is>
          <t>Repaint cost (RUB)</t>
        </is>
      </c>
      <c r="K85" s="7" t="inlineStr">
        <is>
          <t>Service life (years)</t>
        </is>
      </c>
      <c r="L85" s="7" t="inlineStr">
        <is>
          <t>Cycles</t>
        </is>
      </c>
      <c r="M85" s="7" t="inlineStr">
        <is>
          <t>TCO for 10 yrs (RUB)</t>
        </is>
      </c>
      <c r="N85" s="7" t="inlineStr">
        <is>
          <t>Savings vs max (RUB)</t>
        </is>
      </c>
      <c r="O85" s="7" t="inlineStr">
        <is>
          <t>Savings vs max (%)</t>
        </is>
      </c>
    </row>
    <row r="86" ht="22" customHeight="1">
      <c r="B86" s="9" t="inlineStr">
        <is>
          <t>Primer + textured paint</t>
        </is>
      </c>
      <c r="C86" s="9" t="inlineStr">
        <is>
          <t>VD Primer</t>
        </is>
      </c>
      <c r="D86" s="9" t="inlineStr">
        <is>
          <t>Textured paint</t>
        </is>
      </c>
      <c r="E86" s="10" t="n">
        <v>115.9</v>
      </c>
      <c r="F86" s="10" t="n">
        <v>630</v>
      </c>
      <c r="G86" s="10" t="n">
        <v>2318</v>
      </c>
      <c r="H86" s="10" t="n">
        <v>12600</v>
      </c>
      <c r="I86" s="10" t="n">
        <v>14918</v>
      </c>
      <c r="J86" s="10" t="n">
        <v>12336</v>
      </c>
      <c r="K86" s="9" t="n">
        <v>7</v>
      </c>
      <c r="L86" s="18" t="n">
        <v>2</v>
      </c>
      <c r="M86" s="14" t="n">
        <v>27254</v>
      </c>
      <c r="N86" s="18" t="n">
        <v>0</v>
      </c>
      <c r="O86" s="19" t="n">
        <v>0</v>
      </c>
    </row>
    <row r="89" ht="28" customHeight="1">
      <c r="B89" s="16" t="inlineStr">
        <is>
          <t>Chain 12. Radiator painting without odor  [Radiators]  Priority: MEDIUM</t>
        </is>
      </c>
    </row>
    <row r="90">
      <c r="B90" s="6" t="inlineStr">
        <is>
          <t>Problem: Rusty radiators, need paint that doesn't yellow from heat.</t>
        </is>
      </c>
    </row>
    <row r="91">
      <c r="B91" s="17" t="inlineStr">
        <is>
          <t>Object: Radiators | Area: 6 m2 | Horizon: 10 years</t>
        </is>
      </c>
    </row>
    <row r="92" ht="28" customHeight="1">
      <c r="B92" s="7" t="inlineStr">
        <is>
          <t>Variant</t>
        </is>
      </c>
      <c r="C92" s="7" t="inlineStr">
        <is>
          <t>Step 1</t>
        </is>
      </c>
      <c r="D92" s="7" t="inlineStr">
        <is>
          <t>Step 2</t>
        </is>
      </c>
      <c r="E92" s="7" t="inlineStr">
        <is>
          <t>Material (RUB/m2)</t>
        </is>
      </c>
      <c r="F92" s="7" t="inlineStr">
        <is>
          <t>Labor (RUB/m2)</t>
        </is>
      </c>
      <c r="G92" s="7" t="inlineStr">
        <is>
          <t>Material total (RUB)</t>
        </is>
      </c>
      <c r="H92" s="7" t="inlineStr">
        <is>
          <t>Labor total (RUB)</t>
        </is>
      </c>
      <c r="I92" s="7" t="inlineStr">
        <is>
          <t>1st cycle cost (RUB)</t>
        </is>
      </c>
      <c r="J92" s="7" t="inlineStr">
        <is>
          <t>Repaint cost (RUB)</t>
        </is>
      </c>
      <c r="K92" s="7" t="inlineStr">
        <is>
          <t>Service life (years)</t>
        </is>
      </c>
      <c r="L92" s="7" t="inlineStr">
        <is>
          <t>Cycles</t>
        </is>
      </c>
      <c r="M92" s="7" t="inlineStr">
        <is>
          <t>TCO for 10 yrs (RUB)</t>
        </is>
      </c>
      <c r="N92" s="7" t="inlineStr">
        <is>
          <t>Savings vs max (RUB)</t>
        </is>
      </c>
      <c r="O92" s="7" t="inlineStr">
        <is>
          <t>Savings vs max (%)</t>
        </is>
      </c>
    </row>
    <row r="93" ht="22" customHeight="1">
      <c r="B93" s="9" t="inlineStr">
        <is>
          <t>No primer: enamel only</t>
        </is>
      </c>
      <c r="C93" s="9" t="inlineStr">
        <is>
          <t>Radiator enamel</t>
        </is>
      </c>
      <c r="D93" s="9" t="inlineStr">
        <is>
          <t>-</t>
        </is>
      </c>
      <c r="E93" s="10" t="n">
        <v>57.8</v>
      </c>
      <c r="F93" s="10" t="n">
        <v>400</v>
      </c>
      <c r="G93" s="10" t="n">
        <v>347</v>
      </c>
      <c r="H93" s="10" t="n">
        <v>2400</v>
      </c>
      <c r="I93" s="10" t="n">
        <v>2747</v>
      </c>
      <c r="J93" s="10" t="n">
        <v>2747</v>
      </c>
      <c r="K93" s="9" t="n">
        <v>4</v>
      </c>
      <c r="L93" s="18" t="n">
        <v>3</v>
      </c>
      <c r="M93" s="14" t="n">
        <v>8240</v>
      </c>
      <c r="N93" s="18" t="n">
        <v>0</v>
      </c>
      <c r="O93" s="19" t="n">
        <v>0</v>
      </c>
    </row>
    <row r="94" ht="22" customHeight="1">
      <c r="B94" s="12" t="inlineStr">
        <is>
          <t>Recommended: GF-021 + enamel</t>
        </is>
      </c>
      <c r="C94" s="12" t="inlineStr">
        <is>
          <t>Primer GF-021</t>
        </is>
      </c>
      <c r="D94" s="12" t="inlineStr">
        <is>
          <t>Radiator enamel</t>
        </is>
      </c>
      <c r="E94" s="13" t="n">
        <v>66.48</v>
      </c>
      <c r="F94" s="13" t="n">
        <v>650</v>
      </c>
      <c r="G94" s="13" t="n">
        <v>399</v>
      </c>
      <c r="H94" s="13" t="n">
        <v>3900</v>
      </c>
      <c r="I94" s="13" t="n">
        <v>4299</v>
      </c>
      <c r="J94" s="13" t="n">
        <v>3197</v>
      </c>
      <c r="K94" s="12" t="n">
        <v>7</v>
      </c>
      <c r="L94" s="20" t="n">
        <v>2</v>
      </c>
      <c r="M94" s="15" t="n">
        <v>7496</v>
      </c>
      <c r="N94" s="20" t="n">
        <v>744</v>
      </c>
      <c r="O94" s="21" t="n">
        <v>0.09029126213592233</v>
      </c>
    </row>
    <row r="97" ht="28" customHeight="1">
      <c r="B97" s="16" t="inlineStr">
        <is>
          <t>Chain 13. Heavy-duty rusty metal protection  [Metal (harsh conditions)]  Priority: HIGH</t>
        </is>
      </c>
    </row>
    <row r="98">
      <c r="B98" s="6" t="inlineStr">
        <is>
          <t>Problem: Metal heavily rusted - 3v1 won't cope, need max protection.</t>
        </is>
      </c>
    </row>
    <row r="99">
      <c r="B99" s="17" t="inlineStr">
        <is>
          <t>Object: Metal garage | Area: 54 m2 | Horizon: 10 years</t>
        </is>
      </c>
    </row>
    <row r="100" ht="28" customHeight="1">
      <c r="B100" s="7" t="inlineStr">
        <is>
          <t>Variant</t>
        </is>
      </c>
      <c r="C100" s="7" t="inlineStr">
        <is>
          <t>Step 1</t>
        </is>
      </c>
      <c r="D100" s="7" t="inlineStr">
        <is>
          <t>Step 2</t>
        </is>
      </c>
      <c r="E100" s="7" t="inlineStr">
        <is>
          <t>Material (RUB/m2)</t>
        </is>
      </c>
      <c r="F100" s="7" t="inlineStr">
        <is>
          <t>Labor (RUB/m2)</t>
        </is>
      </c>
      <c r="G100" s="7" t="inlineStr">
        <is>
          <t>Material total (RUB)</t>
        </is>
      </c>
      <c r="H100" s="7" t="inlineStr">
        <is>
          <t>Labor total (RUB)</t>
        </is>
      </c>
      <c r="I100" s="7" t="inlineStr">
        <is>
          <t>1st cycle cost (RUB)</t>
        </is>
      </c>
      <c r="J100" s="7" t="inlineStr">
        <is>
          <t>Repaint cost (RUB)</t>
        </is>
      </c>
      <c r="K100" s="7" t="inlineStr">
        <is>
          <t>Service life (years)</t>
        </is>
      </c>
      <c r="L100" s="7" t="inlineStr">
        <is>
          <t>Cycles</t>
        </is>
      </c>
      <c r="M100" s="7" t="inlineStr">
        <is>
          <t>TCO for 10 yrs (RUB)</t>
        </is>
      </c>
      <c r="N100" s="7" t="inlineStr">
        <is>
          <t>Savings vs max (RUB)</t>
        </is>
      </c>
      <c r="O100" s="7" t="inlineStr">
        <is>
          <t>Savings vs max (%)</t>
        </is>
      </c>
    </row>
    <row r="101" ht="22" customHeight="1">
      <c r="B101" s="9" t="inlineStr">
        <is>
          <t>3v1 only</t>
        </is>
      </c>
      <c r="C101" s="9" t="inlineStr">
        <is>
          <t>Primer-enamel 3v1 OREOL</t>
        </is>
      </c>
      <c r="D101" s="9" t="inlineStr">
        <is>
          <t>-</t>
        </is>
      </c>
      <c r="E101" s="10" t="n">
        <v>43</v>
      </c>
      <c r="F101" s="10" t="n">
        <v>300</v>
      </c>
      <c r="G101" s="10" t="n">
        <v>2322</v>
      </c>
      <c r="H101" s="10" t="n">
        <v>16200</v>
      </c>
      <c r="I101" s="10" t="n">
        <v>18522</v>
      </c>
      <c r="J101" s="10" t="n">
        <v>18522</v>
      </c>
      <c r="K101" s="9" t="n">
        <v>4</v>
      </c>
      <c r="L101" s="18" t="n">
        <v>3</v>
      </c>
      <c r="M101" s="14" t="n">
        <v>55566</v>
      </c>
      <c r="N101" s="18" t="n">
        <v>0</v>
      </c>
      <c r="O101" s="19" t="n">
        <v>0</v>
      </c>
    </row>
    <row r="102" ht="22" customHeight="1">
      <c r="B102" s="12" t="inlineStr">
        <is>
          <t>GF-021 + 3v1 (double protection)</t>
        </is>
      </c>
      <c r="C102" s="12" t="inlineStr">
        <is>
          <t>Primer GF-021</t>
        </is>
      </c>
      <c r="D102" s="12" t="inlineStr">
        <is>
          <t>Primer-enamel 3v1 OREOL</t>
        </is>
      </c>
      <c r="E102" s="13" t="n">
        <v>51.68</v>
      </c>
      <c r="F102" s="13" t="n">
        <v>550</v>
      </c>
      <c r="G102" s="13" t="n">
        <v>2791</v>
      </c>
      <c r="H102" s="13" t="n">
        <v>29700</v>
      </c>
      <c r="I102" s="13" t="n">
        <v>32491</v>
      </c>
      <c r="J102" s="13" t="n">
        <v>22572</v>
      </c>
      <c r="K102" s="12" t="n">
        <v>10</v>
      </c>
      <c r="L102" s="20" t="n">
        <v>1</v>
      </c>
      <c r="M102" s="15" t="n">
        <v>32491</v>
      </c>
      <c r="N102" s="20" t="n">
        <v>23075</v>
      </c>
      <c r="O102" s="21" t="n">
        <v>0.4152719288773711</v>
      </c>
    </row>
    <row r="103" ht="22" customHeight="1">
      <c r="B103" s="9" t="inlineStr">
        <is>
          <t>GF-021 + TITAN (maximum)</t>
        </is>
      </c>
      <c r="C103" s="9" t="inlineStr">
        <is>
          <t>Primer GF-021</t>
        </is>
      </c>
      <c r="D103" s="9" t="inlineStr">
        <is>
          <t>Primer-enamel TITAN</t>
        </is>
      </c>
      <c r="E103" s="10" t="n">
        <v>118.48</v>
      </c>
      <c r="F103" s="10" t="n">
        <v>550</v>
      </c>
      <c r="G103" s="10" t="n">
        <v>6398</v>
      </c>
      <c r="H103" s="10" t="n">
        <v>29700</v>
      </c>
      <c r="I103" s="10" t="n">
        <v>36098</v>
      </c>
      <c r="J103" s="10" t="n">
        <v>26179</v>
      </c>
      <c r="K103" s="9" t="n">
        <v>12</v>
      </c>
      <c r="L103" s="18" t="n">
        <v>1</v>
      </c>
      <c r="M103" s="14" t="n">
        <v>36098</v>
      </c>
      <c r="N103" s="18" t="n">
        <v>19468</v>
      </c>
      <c r="O103" s="19" t="n">
        <v>0.3503581326710579</v>
      </c>
    </row>
    <row r="106" ht="28" customHeight="1">
      <c r="B106" s="16" t="inlineStr">
        <is>
          <t>Chain 14. Metal floor / decking  [Metal + Floors]  Priority: HIGH</t>
        </is>
      </c>
    </row>
    <row r="107">
      <c r="B107" s="6" t="inlineStr">
        <is>
          <t>Problem: Metal decking rusts and gets slippery.</t>
        </is>
      </c>
    </row>
    <row r="108">
      <c r="B108" s="17" t="inlineStr">
        <is>
          <t>Object: Metal decking | Area: 25 m2 | Horizon: 10 years</t>
        </is>
      </c>
    </row>
    <row r="109" ht="28" customHeight="1">
      <c r="B109" s="7" t="inlineStr">
        <is>
          <t>Variant</t>
        </is>
      </c>
      <c r="C109" s="7" t="inlineStr">
        <is>
          <t>Step 1</t>
        </is>
      </c>
      <c r="D109" s="7" t="inlineStr">
        <is>
          <t>Step 2</t>
        </is>
      </c>
      <c r="E109" s="7" t="inlineStr">
        <is>
          <t>Material (RUB/m2)</t>
        </is>
      </c>
      <c r="F109" s="7" t="inlineStr">
        <is>
          <t>Labor (RUB/m2)</t>
        </is>
      </c>
      <c r="G109" s="7" t="inlineStr">
        <is>
          <t>Material total (RUB)</t>
        </is>
      </c>
      <c r="H109" s="7" t="inlineStr">
        <is>
          <t>Labor total (RUB)</t>
        </is>
      </c>
      <c r="I109" s="7" t="inlineStr">
        <is>
          <t>1st cycle cost (RUB)</t>
        </is>
      </c>
      <c r="J109" s="7" t="inlineStr">
        <is>
          <t>Repaint cost (RUB)</t>
        </is>
      </c>
      <c r="K109" s="7" t="inlineStr">
        <is>
          <t>Service life (years)</t>
        </is>
      </c>
      <c r="L109" s="7" t="inlineStr">
        <is>
          <t>Cycles</t>
        </is>
      </c>
      <c r="M109" s="7" t="inlineStr">
        <is>
          <t>TCO for 10 yrs (RUB)</t>
        </is>
      </c>
      <c r="N109" s="7" t="inlineStr">
        <is>
          <t>Savings vs max (RUB)</t>
        </is>
      </c>
      <c r="O109" s="7" t="inlineStr">
        <is>
          <t>Savings vs max (%)</t>
        </is>
      </c>
    </row>
    <row r="110" ht="22" customHeight="1">
      <c r="B110" s="9" t="inlineStr">
        <is>
          <t>Ratsvet only (no anticorrosion)</t>
        </is>
      </c>
      <c r="C110" s="9" t="inlineStr">
        <is>
          <t>Floor enamel Ratsvet</t>
        </is>
      </c>
      <c r="D110" s="9" t="inlineStr">
        <is>
          <t>-</t>
        </is>
      </c>
      <c r="E110" s="10" t="n">
        <v>40.32</v>
      </c>
      <c r="F110" s="10" t="n">
        <v>280</v>
      </c>
      <c r="G110" s="10" t="n">
        <v>1008</v>
      </c>
      <c r="H110" s="10" t="n">
        <v>7000</v>
      </c>
      <c r="I110" s="10" t="n">
        <v>8008</v>
      </c>
      <c r="J110" s="10" t="n">
        <v>8008</v>
      </c>
      <c r="K110" s="9" t="n">
        <v>3</v>
      </c>
      <c r="L110" s="18" t="n">
        <v>4</v>
      </c>
      <c r="M110" s="14" t="n">
        <v>32032</v>
      </c>
      <c r="N110" s="18" t="n">
        <v>0</v>
      </c>
      <c r="O110" s="19" t="n">
        <v>0</v>
      </c>
    </row>
    <row r="111" ht="22" customHeight="1">
      <c r="B111" s="12" t="inlineStr">
        <is>
          <t>Recommended: GF-021 + Ratsvet</t>
        </is>
      </c>
      <c r="C111" s="12" t="inlineStr">
        <is>
          <t>Primer GF-021</t>
        </is>
      </c>
      <c r="D111" s="12" t="inlineStr">
        <is>
          <t>Floor enamel Ratsvet</t>
        </is>
      </c>
      <c r="E111" s="13" t="n">
        <v>49</v>
      </c>
      <c r="F111" s="13" t="n">
        <v>530</v>
      </c>
      <c r="G111" s="13" t="n">
        <v>1225</v>
      </c>
      <c r="H111" s="13" t="n">
        <v>13250</v>
      </c>
      <c r="I111" s="13" t="n">
        <v>14475</v>
      </c>
      <c r="J111" s="13" t="n">
        <v>9883</v>
      </c>
      <c r="K111" s="12" t="n">
        <v>7</v>
      </c>
      <c r="L111" s="20" t="n">
        <v>2</v>
      </c>
      <c r="M111" s="15" t="n">
        <v>24358</v>
      </c>
      <c r="N111" s="20" t="n">
        <v>7674</v>
      </c>
      <c r="O111" s="21" t="n">
        <v>0.2395729270729271</v>
      </c>
    </row>
  </sheetData>
  <mergeCells count="43">
    <mergeCell ref="B35:O35"/>
    <mergeCell ref="B4:O4"/>
    <mergeCell ref="B106:O106"/>
    <mergeCell ref="B75:O75"/>
    <mergeCell ref="B91:O91"/>
    <mergeCell ref="B97:O97"/>
    <mergeCell ref="B90:O90"/>
    <mergeCell ref="B59:O59"/>
    <mergeCell ref="B22:O22"/>
    <mergeCell ref="B66:O66"/>
    <mergeCell ref="B89:O89"/>
    <mergeCell ref="B58:O58"/>
    <mergeCell ref="B21:O21"/>
    <mergeCell ref="B43:O43"/>
    <mergeCell ref="B12:O12"/>
    <mergeCell ref="B52:O52"/>
    <mergeCell ref="B2:O2"/>
    <mergeCell ref="B60:O60"/>
    <mergeCell ref="B67:O67"/>
    <mergeCell ref="B98:O98"/>
    <mergeCell ref="B23:O23"/>
    <mergeCell ref="B107:O107"/>
    <mergeCell ref="B14:O14"/>
    <mergeCell ref="B13:O13"/>
    <mergeCell ref="B44:O44"/>
    <mergeCell ref="B53:O53"/>
    <mergeCell ref="B82:O82"/>
    <mergeCell ref="B29:O29"/>
    <mergeCell ref="B37:O37"/>
    <mergeCell ref="B108:O108"/>
    <mergeCell ref="B28:O28"/>
    <mergeCell ref="B99:O99"/>
    <mergeCell ref="B84:O84"/>
    <mergeCell ref="B74:O74"/>
    <mergeCell ref="B83:O83"/>
    <mergeCell ref="B6:O6"/>
    <mergeCell ref="B30:O30"/>
    <mergeCell ref="B68:O68"/>
    <mergeCell ref="B5:O5"/>
    <mergeCell ref="B51:O51"/>
    <mergeCell ref="B76:O76"/>
    <mergeCell ref="B45:O45"/>
    <mergeCell ref="B36:O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2" customWidth="1" min="3" max="3"/>
    <col width="14" customWidth="1" min="4" max="4"/>
    <col width="14" customWidth="1" min="5" max="5"/>
    <col width="28" customWidth="1" min="6" max="6"/>
    <col width="20" customWidth="1" min="7" max="7"/>
    <col width="28" customWidth="1" min="8" max="8"/>
    <col width="20" customWidth="1" min="9" max="9"/>
    <col width="16" customWidth="1" min="10" max="10"/>
    <col width="14" customWidth="1" min="11" max="11"/>
  </cols>
  <sheetData>
    <row r="1" ht="15" customHeight="1"/>
    <row r="2" ht="32" customHeight="1">
      <c r="B2" s="1" t="inlineStr">
        <is>
          <t>TCO SUMMARY COMPARISON - ALL CHAINS</t>
        </is>
      </c>
    </row>
    <row r="3" ht="8" customHeight="1"/>
    <row r="4" ht="28" customHeight="1">
      <c r="B4" s="7" t="inlineStr">
        <is>
          <t>#</t>
        </is>
      </c>
      <c r="C4" s="7" t="inlineStr">
        <is>
          <t>Chain</t>
        </is>
      </c>
      <c r="D4" s="7" t="inlineStr">
        <is>
          <t>Segment</t>
        </is>
      </c>
      <c r="E4" s="7" t="inlineStr">
        <is>
          <t>Priority</t>
        </is>
      </c>
      <c r="F4" s="7" t="inlineStr">
        <is>
          <t>Most expensive variant</t>
        </is>
      </c>
      <c r="G4" s="7" t="inlineStr">
        <is>
          <t>TCO expensive (RUB)</t>
        </is>
      </c>
      <c r="H4" s="7" t="inlineStr">
        <is>
          <t>Best variant</t>
        </is>
      </c>
      <c r="I4" s="7" t="inlineStr">
        <is>
          <t>TCO best (RUB)</t>
        </is>
      </c>
      <c r="J4" s="7" t="inlineStr">
        <is>
          <t>Savings (RUB)</t>
        </is>
      </c>
      <c r="K4" s="7" t="inlineStr">
        <is>
          <t>Savings (%)</t>
        </is>
      </c>
    </row>
    <row r="5" ht="22" customHeight="1">
      <c r="B5" s="8" t="n">
        <v>1</v>
      </c>
      <c r="C5" s="9" t="inlineStr">
        <is>
          <t>Metal protection: primer + enamel</t>
        </is>
      </c>
      <c r="D5" s="9" t="inlineStr">
        <is>
          <t>Metal</t>
        </is>
      </c>
      <c r="E5" s="9" t="inlineStr">
        <is>
          <t>HIGH</t>
        </is>
      </c>
      <c r="F5" s="9" t="inlineStr">
        <is>
          <t>Economy: GF-021 + PF-115 ProstoKRASKA</t>
        </is>
      </c>
      <c r="G5" s="18" t="n">
        <v>28321</v>
      </c>
      <c r="H5" s="9" t="inlineStr">
        <is>
          <t>Mid: GF-021 + PF-115 OREOL Premium</t>
        </is>
      </c>
      <c r="I5" s="18" t="n">
        <v>16636</v>
      </c>
      <c r="J5" s="18" t="n">
        <v>11685</v>
      </c>
      <c r="K5" s="19" t="n">
        <v>0.4125913632993185</v>
      </c>
    </row>
    <row r="6" ht="22" customHeight="1">
      <c r="B6" s="11" t="n">
        <v>2</v>
      </c>
      <c r="C6" s="12" t="inlineStr">
        <is>
          <t>Fast metal painting (3v1)</t>
        </is>
      </c>
      <c r="D6" s="12" t="inlineStr">
        <is>
          <t>Metal</t>
        </is>
      </c>
      <c r="E6" s="12" t="inlineStr">
        <is>
          <t>HIGH</t>
        </is>
      </c>
      <c r="F6" s="12" t="inlineStr">
        <is>
          <t>3v1 OREOL</t>
        </is>
      </c>
      <c r="G6" s="20" t="n">
        <v>30870</v>
      </c>
      <c r="H6" s="12" t="inlineStr">
        <is>
          <t>Paint Lab</t>
        </is>
      </c>
      <c r="I6" s="20" t="n">
        <v>21534</v>
      </c>
      <c r="J6" s="20" t="n">
        <v>9336</v>
      </c>
      <c r="K6" s="21" t="n">
        <v>0.3024295432458698</v>
      </c>
    </row>
    <row r="7" ht="22" customHeight="1">
      <c r="B7" s="8" t="n">
        <v>5</v>
      </c>
      <c r="C7" s="9" t="inlineStr">
        <is>
          <t>Concrete floor: no dust, no wear</t>
        </is>
      </c>
      <c r="D7" s="9" t="inlineStr">
        <is>
          <t>Floors</t>
        </is>
      </c>
      <c r="E7" s="9" t="inlineStr">
        <is>
          <t>HIGH</t>
        </is>
      </c>
      <c r="F7" s="9" t="inlineStr">
        <is>
          <t>Economy: Ratsvet only (no primer)</t>
        </is>
      </c>
      <c r="G7" s="18" t="n">
        <v>21155</v>
      </c>
      <c r="H7" s="9" t="inlineStr">
        <is>
          <t>Recommended: GF-021 + Ratsvet</t>
        </is>
      </c>
      <c r="I7" s="18" t="n">
        <v>19486</v>
      </c>
      <c r="J7" s="18" t="n">
        <v>1669</v>
      </c>
      <c r="K7" s="19" t="n">
        <v>0.07889387851571733</v>
      </c>
    </row>
    <row r="8" ht="22" customHeight="1">
      <c r="B8" s="11" t="n">
        <v>6</v>
      </c>
      <c r="C8" s="12" t="inlineStr">
        <is>
          <t>Outdoor wood: fence, terrace</t>
        </is>
      </c>
      <c r="D8" s="12" t="inlineStr">
        <is>
          <t>Wood (exterior)</t>
        </is>
      </c>
      <c r="E8" s="12" t="inlineStr">
        <is>
          <t>MEDIUM</t>
        </is>
      </c>
      <c r="F8" s="12" t="inlineStr">
        <is>
          <t>Economy: MONLID</t>
        </is>
      </c>
      <c r="G8" s="20" t="n">
        <v>46206</v>
      </c>
      <c r="H8" s="12" t="inlineStr">
        <is>
          <t>Mid+: Luxens</t>
        </is>
      </c>
      <c r="I8" s="20" t="n">
        <v>33098</v>
      </c>
      <c r="J8" s="20" t="n">
        <v>13108</v>
      </c>
      <c r="K8" s="21" t="n">
        <v>0.2836861013721162</v>
      </c>
    </row>
    <row r="9" ht="22" customHeight="1">
      <c r="B9" s="8" t="n">
        <v>8</v>
      </c>
      <c r="C9" s="9" t="inlineStr">
        <is>
          <t>Smooth ceiling without streaks</t>
        </is>
      </c>
      <c r="D9" s="9" t="inlineStr">
        <is>
          <t>Ceilings</t>
        </is>
      </c>
      <c r="E9" s="9" t="inlineStr">
        <is>
          <t>LOW</t>
        </is>
      </c>
      <c r="F9" s="9" t="inlineStr">
        <is>
          <t>No primer: paint only</t>
        </is>
      </c>
      <c r="G9" s="18" t="n">
        <v>15283</v>
      </c>
      <c r="H9" s="9" t="inlineStr">
        <is>
          <t>Recommended: primer + paint</t>
        </is>
      </c>
      <c r="I9" s="18" t="n">
        <v>14468</v>
      </c>
      <c r="J9" s="18" t="n">
        <v>815</v>
      </c>
      <c r="K9" s="19" t="n">
        <v>0.05332722632990905</v>
      </c>
    </row>
    <row r="10" ht="22" customHeight="1">
      <c r="B10" s="11" t="n">
        <v>9</v>
      </c>
      <c r="C10" s="12" t="inlineStr">
        <is>
          <t>Washable walls</t>
        </is>
      </c>
      <c r="D10" s="12" t="inlineStr">
        <is>
          <t>Interior</t>
        </is>
      </c>
      <c r="E10" s="12" t="inlineStr">
        <is>
          <t>LOW</t>
        </is>
      </c>
      <c r="F10" s="12" t="inlineStr">
        <is>
          <t>No primer: paint only</t>
        </is>
      </c>
      <c r="G10" s="20" t="n">
        <v>42288</v>
      </c>
      <c r="H10" s="12" t="inlineStr">
        <is>
          <t>Recommended: primer + paint</t>
        </is>
      </c>
      <c r="I10" s="20" t="n">
        <v>37983</v>
      </c>
      <c r="J10" s="20" t="n">
        <v>4305</v>
      </c>
      <c r="K10" s="21" t="n">
        <v>0.1018019296254257</v>
      </c>
    </row>
    <row r="11" ht="22" customHeight="1">
      <c r="B11" s="8" t="n">
        <v>10</v>
      </c>
      <c r="C11" s="9" t="inlineStr">
        <is>
          <t>House facade painting</t>
        </is>
      </c>
      <c r="D11" s="9" t="inlineStr">
        <is>
          <t>Facade</t>
        </is>
      </c>
      <c r="E11" s="9" t="inlineStr">
        <is>
          <t>LOW</t>
        </is>
      </c>
      <c r="F11" s="9" t="inlineStr">
        <is>
          <t>No primer: paint only</t>
        </is>
      </c>
      <c r="G11" s="18" t="n">
        <v>90102</v>
      </c>
      <c r="H11" s="9" t="inlineStr">
        <is>
          <t>Recommended: primer + paint</t>
        </is>
      </c>
      <c r="I11" s="18" t="n">
        <v>78422</v>
      </c>
      <c r="J11" s="18" t="n">
        <v>11680</v>
      </c>
      <c r="K11" s="19" t="n">
        <v>0.1296308627999379</v>
      </c>
    </row>
    <row r="12" ht="22" customHeight="1">
      <c r="B12" s="11" t="n">
        <v>12</v>
      </c>
      <c r="C12" s="12" t="inlineStr">
        <is>
          <t>Radiator painting without odor</t>
        </is>
      </c>
      <c r="D12" s="12" t="inlineStr">
        <is>
          <t>Radiators</t>
        </is>
      </c>
      <c r="E12" s="12" t="inlineStr">
        <is>
          <t>MEDIUM</t>
        </is>
      </c>
      <c r="F12" s="12" t="inlineStr">
        <is>
          <t>No primer: enamel only</t>
        </is>
      </c>
      <c r="G12" s="20" t="n">
        <v>8240</v>
      </c>
      <c r="H12" s="12" t="inlineStr">
        <is>
          <t>Recommended: GF-021 + enamel</t>
        </is>
      </c>
      <c r="I12" s="20" t="n">
        <v>7496</v>
      </c>
      <c r="J12" s="20" t="n">
        <v>744</v>
      </c>
      <c r="K12" s="21" t="n">
        <v>0.09029126213592233</v>
      </c>
    </row>
    <row r="13" ht="22" customHeight="1">
      <c r="B13" s="8" t="n">
        <v>13</v>
      </c>
      <c r="C13" s="9" t="inlineStr">
        <is>
          <t>Heavy-duty rusty metal protection</t>
        </is>
      </c>
      <c r="D13" s="9" t="inlineStr">
        <is>
          <t>Metal (harsh conditions)</t>
        </is>
      </c>
      <c r="E13" s="9" t="inlineStr">
        <is>
          <t>HIGH</t>
        </is>
      </c>
      <c r="F13" s="9" t="inlineStr">
        <is>
          <t>3v1 only</t>
        </is>
      </c>
      <c r="G13" s="18" t="n">
        <v>55566</v>
      </c>
      <c r="H13" s="9" t="inlineStr">
        <is>
          <t>GF-021 + 3v1 (double protection)</t>
        </is>
      </c>
      <c r="I13" s="18" t="n">
        <v>32491</v>
      </c>
      <c r="J13" s="18" t="n">
        <v>23075</v>
      </c>
      <c r="K13" s="19" t="n">
        <v>0.4152719288773711</v>
      </c>
    </row>
    <row r="14" ht="22" customHeight="1">
      <c r="B14" s="11" t="n">
        <v>14</v>
      </c>
      <c r="C14" s="12" t="inlineStr">
        <is>
          <t>Metal floor / decking</t>
        </is>
      </c>
      <c r="D14" s="12" t="inlineStr">
        <is>
          <t>Metal + Floors</t>
        </is>
      </c>
      <c r="E14" s="12" t="inlineStr">
        <is>
          <t>HIGH</t>
        </is>
      </c>
      <c r="F14" s="12" t="inlineStr">
        <is>
          <t>Ratsvet only (no anticorrosion)</t>
        </is>
      </c>
      <c r="G14" s="20" t="n">
        <v>32032</v>
      </c>
      <c r="H14" s="12" t="inlineStr">
        <is>
          <t>Recommended: GF-021 + Ratsvet</t>
        </is>
      </c>
      <c r="I14" s="20" t="n">
        <v>24358</v>
      </c>
      <c r="J14" s="20" t="n">
        <v>7674</v>
      </c>
      <c r="K14" s="21" t="n">
        <v>0.2395729270729271</v>
      </c>
    </row>
    <row r="15" ht="26" customHeight="1">
      <c r="B15" s="22" t="inlineStr">
        <is>
          <t>TOTAL savings when choosing best variants:</t>
        </is>
      </c>
      <c r="C15" s="23" t="n"/>
      <c r="D15" s="23" t="n"/>
      <c r="E15" s="23" t="n"/>
      <c r="F15" s="23" t="n"/>
      <c r="G15" s="23" t="n"/>
      <c r="H15" s="23" t="n"/>
      <c r="I15" s="23" t="n"/>
      <c r="J15" s="24" t="n">
        <v>84091</v>
      </c>
      <c r="K15" s="25" t="n">
        <v>0.2272342817304081</v>
      </c>
    </row>
    <row r="18">
      <c r="B18" t="inlineStr">
        <is>
          <t>Chain</t>
        </is>
      </c>
      <c r="C18" t="inlineStr">
        <is>
          <t>TCO expensive (RUB)</t>
        </is>
      </c>
      <c r="D18" t="inlineStr">
        <is>
          <t>TCO best (RUB)</t>
        </is>
      </c>
    </row>
    <row r="19">
      <c r="B19" t="inlineStr">
        <is>
          <t>1. Metal protection: primer + ena</t>
        </is>
      </c>
      <c r="C19" s="26" t="n">
        <v>28321</v>
      </c>
      <c r="D19" s="26" t="n">
        <v>16636</v>
      </c>
    </row>
    <row r="20">
      <c r="B20" t="inlineStr">
        <is>
          <t>2. Fast metal painting (3v1)</t>
        </is>
      </c>
      <c r="C20" s="26" t="n">
        <v>30870</v>
      </c>
      <c r="D20" s="26" t="n">
        <v>21534</v>
      </c>
    </row>
    <row r="21">
      <c r="B21" t="inlineStr">
        <is>
          <t>5. Concrete floor: no dust, no we</t>
        </is>
      </c>
      <c r="C21" s="26" t="n">
        <v>21155</v>
      </c>
      <c r="D21" s="26" t="n">
        <v>19486</v>
      </c>
    </row>
    <row r="22">
      <c r="B22" t="inlineStr">
        <is>
          <t>6. Outdoor wood: fence, terrace</t>
        </is>
      </c>
      <c r="C22" s="26" t="n">
        <v>46206</v>
      </c>
      <c r="D22" s="26" t="n">
        <v>33098</v>
      </c>
    </row>
    <row r="23">
      <c r="B23" t="inlineStr">
        <is>
          <t>8. Smooth ceiling without streaks</t>
        </is>
      </c>
      <c r="C23" s="26" t="n">
        <v>15283</v>
      </c>
      <c r="D23" s="26" t="n">
        <v>14468</v>
      </c>
    </row>
    <row r="24">
      <c r="B24" t="inlineStr">
        <is>
          <t>9. Washable walls</t>
        </is>
      </c>
      <c r="C24" s="26" t="n">
        <v>42288</v>
      </c>
      <c r="D24" s="26" t="n">
        <v>37983</v>
      </c>
    </row>
    <row r="25">
      <c r="B25" t="inlineStr">
        <is>
          <t>10. House facade painting</t>
        </is>
      </c>
      <c r="C25" s="26" t="n">
        <v>90102</v>
      </c>
      <c r="D25" s="26" t="n">
        <v>78422</v>
      </c>
    </row>
    <row r="26">
      <c r="B26" t="inlineStr">
        <is>
          <t>12. Radiator painting without odor</t>
        </is>
      </c>
      <c r="C26" s="26" t="n">
        <v>8240</v>
      </c>
      <c r="D26" s="26" t="n">
        <v>7496</v>
      </c>
    </row>
    <row r="27">
      <c r="B27" t="inlineStr">
        <is>
          <t>13. Heavy-duty rusty metal protect</t>
        </is>
      </c>
      <c r="C27" s="26" t="n">
        <v>55566</v>
      </c>
      <c r="D27" s="26" t="n">
        <v>32491</v>
      </c>
    </row>
    <row r="28">
      <c r="B28" t="inlineStr">
        <is>
          <t>14. Metal floor / decking</t>
        </is>
      </c>
      <c r="C28" s="26" t="n">
        <v>32032</v>
      </c>
      <c r="D28" s="26" t="n">
        <v>24358</v>
      </c>
    </row>
  </sheetData>
  <mergeCells count="2">
    <mergeCell ref="B15:H15"/>
    <mergeCell ref="B2:K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18"/>
  <sheetViews>
    <sheetView showGridLines="0" workbookViewId="0">
      <selection activeCell="A1" sqref="A1"/>
    </sheetView>
  </sheetViews>
  <sheetFormatPr baseColWidth="8" defaultRowHeight="15"/>
  <cols>
    <col width="3" customWidth="1" min="1" max="1"/>
  </cols>
  <sheetData>
    <row r="1" ht="15" customHeight="1"/>
    <row r="2" ht="32" customHeight="1">
      <c r="B2" s="1" t="inlineStr">
        <is>
          <t>TECHNOLOGICAL CHAINS REFERENCE</t>
        </is>
      </c>
    </row>
    <row r="3" ht="8" customHeight="1"/>
    <row r="4" ht="28" customHeight="1">
      <c r="B4" s="7" t="inlineStr">
        <is>
          <t>#</t>
        </is>
      </c>
      <c r="C4" s="7" t="inlineStr">
        <is>
          <t>Technology</t>
        </is>
      </c>
      <c r="D4" s="7" t="inlineStr">
        <is>
          <t>Segment</t>
        </is>
      </c>
      <c r="E4" s="7" t="inlineStr">
        <is>
          <t>Problem</t>
        </is>
      </c>
      <c r="F4" s="7" t="inlineStr">
        <is>
          <t>SKU count</t>
        </is>
      </c>
      <c r="G4" s="7" t="inlineStr">
        <is>
          <t>Price level</t>
        </is>
      </c>
      <c r="H4" s="7" t="inlineStr">
        <is>
          <t>Priority</t>
        </is>
      </c>
      <c r="I4" s="7" t="inlineStr">
        <is>
          <t>Key TCO advantage</t>
        </is>
      </c>
    </row>
    <row r="5" ht="22" customHeight="1">
      <c r="B5" s="8" t="n">
        <v>1</v>
      </c>
      <c r="C5" s="9" t="inlineStr">
        <is>
          <t>Metal protection: primer + enamel</t>
        </is>
      </c>
      <c r="D5" s="9" t="inlineStr">
        <is>
          <t>Metal</t>
        </is>
      </c>
      <c r="E5" s="9" t="inlineStr">
        <is>
          <t>Rusty metal: fences, gates, pipes, garages</t>
        </is>
      </c>
      <c r="F5" s="9" t="inlineStr">
        <is>
          <t>10 + 97 = 107 SKU</t>
        </is>
      </c>
      <c r="G5" s="9" t="inlineStr">
        <is>
          <t>Economy / Mid / Premium</t>
        </is>
      </c>
      <c r="H5" s="27" t="inlineStr">
        <is>
          <t>HIGH</t>
        </is>
      </c>
      <c r="I5" s="9" t="inlineStr">
        <is>
          <t>GF-021 + OREOL Premium lasts 5 yrs instead of 3 - up to 41% TCO savings</t>
        </is>
      </c>
    </row>
    <row r="6" ht="22" customHeight="1">
      <c r="B6" s="11" t="n">
        <v>2</v>
      </c>
      <c r="C6" s="12" t="inlineStr">
        <is>
          <t>Fast metal painting without primer</t>
        </is>
      </c>
      <c r="D6" s="12" t="inlineStr">
        <is>
          <t>Metal</t>
        </is>
      </c>
      <c r="E6" s="12" t="inlineStr">
        <is>
          <t>No time to prime - paint rusty fence in one pass</t>
        </is>
      </c>
      <c r="F6" s="12" t="inlineStr">
        <is>
          <t>34 SKU (3v1)</t>
        </is>
      </c>
      <c r="G6" s="12" t="inlineStr">
        <is>
          <t>Mid</t>
        </is>
      </c>
      <c r="H6" s="28" t="inlineStr">
        <is>
          <t>HIGH</t>
        </is>
      </c>
      <c r="I6" s="12" t="inlineStr">
        <is>
          <t>TITAN lasts 8 yrs vs 3v1=4 yrs - up to 30% TCO savings</t>
        </is>
      </c>
    </row>
    <row r="7" ht="22" customHeight="1">
      <c r="B7" s="8" t="n">
        <v>3</v>
      </c>
      <c r="C7" s="9" t="inlineStr">
        <is>
          <t>Premium metal painting by RAL</t>
        </is>
      </c>
      <c r="D7" s="9" t="inlineStr">
        <is>
          <t>Metal</t>
        </is>
      </c>
      <c r="E7" s="9" t="inlineStr">
        <is>
          <t>Need exact RAL color for gates, fences, equipment</t>
        </is>
      </c>
      <c r="F7" s="9" t="inlineStr">
        <is>
          <t>44 SKU (TITAN)</t>
        </is>
      </c>
      <c r="G7" s="9" t="inlineStr">
        <is>
          <t>Premium</t>
        </is>
      </c>
      <c r="H7" s="27" t="inlineStr">
        <is>
          <t>HIGH</t>
        </is>
      </c>
      <c r="I7" s="9" t="inlineStr">
        <is>
          <t>8-year service life pays for 2.5x price - lowest TCO</t>
        </is>
      </c>
    </row>
    <row r="8" ht="22" customHeight="1">
      <c r="B8" s="11" t="n">
        <v>4</v>
      </c>
      <c r="C8" s="12" t="inlineStr">
        <is>
          <t>Modern metal painting - Paint Lab</t>
        </is>
      </c>
      <c r="D8" s="12" t="inlineStr">
        <is>
          <t>Metal</t>
        </is>
      </c>
      <c r="E8" s="12" t="inlineStr">
        <is>
          <t>Trendier than classic, without TITAN premium</t>
        </is>
      </c>
      <c r="F8" s="12" t="inlineStr">
        <is>
          <t>24 SKU (Paint Lab)</t>
        </is>
      </c>
      <c r="G8" s="12" t="inlineStr">
        <is>
          <t>Mid+</t>
        </is>
      </c>
      <c r="H8" s="29" t="inlineStr">
        <is>
          <t>MEDIUM</t>
        </is>
      </c>
      <c r="I8" s="12" t="inlineStr">
        <is>
          <t>5-year service life at mid price - optimal ratio</t>
        </is>
      </c>
    </row>
    <row r="9" ht="22" customHeight="1">
      <c r="B9" s="8" t="n">
        <v>5</v>
      </c>
      <c r="C9" s="9" t="inlineStr">
        <is>
          <t>Concrete floor: no dust, no wear</t>
        </is>
      </c>
      <c r="D9" s="9" t="inlineStr">
        <is>
          <t>Floors</t>
        </is>
      </c>
      <c r="E9" s="9" t="inlineStr">
        <is>
          <t>Concrete floor dusts, absorbs oil, crumbles</t>
        </is>
      </c>
      <c r="F9" s="9" t="inlineStr">
        <is>
          <t>10 + 21 = 31 SKU</t>
        </is>
      </c>
      <c r="G9" s="9" t="inlineStr">
        <is>
          <t>Mid</t>
        </is>
      </c>
      <c r="H9" s="27" t="inlineStr">
        <is>
          <t>HIGH</t>
        </is>
      </c>
      <c r="I9" s="9" t="inlineStr">
        <is>
          <t>Primer reduces paint consumption by 1.8x - up to 35% savings</t>
        </is>
      </c>
    </row>
    <row r="10" ht="22" customHeight="1">
      <c r="B10" s="11" t="n">
        <v>6</v>
      </c>
      <c r="C10" s="12" t="inlineStr">
        <is>
          <t>Outdoor wood: fence, terrace</t>
        </is>
      </c>
      <c r="D10" s="12" t="inlineStr">
        <is>
          <t>Wood (ext.)</t>
        </is>
      </c>
      <c r="E10" s="12" t="inlineStr">
        <is>
          <t>Fence/terrace grays, swells, cracks</t>
        </is>
      </c>
      <c r="F10" s="12" t="inlineStr">
        <is>
          <t>12 SKU (MONLID + Luxens)</t>
        </is>
      </c>
      <c r="G10" s="12" t="inlineStr">
        <is>
          <t>Economy / Mid</t>
        </is>
      </c>
      <c r="H10" s="29" t="inlineStr">
        <is>
          <t>MEDIUM</t>
        </is>
      </c>
      <c r="I10" s="12" t="inlineStr">
        <is>
          <t>Luxens lasts 6 yrs vs MONLID 4 - 25% savings</t>
        </is>
      </c>
    </row>
    <row r="11" ht="22" customHeight="1">
      <c r="B11" s="8" t="n">
        <v>7</v>
      </c>
      <c r="C11" s="9" t="inlineStr">
        <is>
          <t>Parquet and wooden floor indoors</t>
        </is>
      </c>
      <c r="D11" s="9" t="inlineStr">
        <is>
          <t>Wood (int.)</t>
        </is>
      </c>
      <c r="E11" s="9" t="inlineStr">
        <is>
          <t>Parquet wears, scratches, dulls</t>
        </is>
      </c>
      <c r="F11" s="9" t="inlineStr">
        <is>
          <t>6 SKU (AVANTGARDE)</t>
        </is>
      </c>
      <c r="G11" s="9" t="inlineStr">
        <is>
          <t>Premium</t>
        </is>
      </c>
      <c r="H11" s="9" t="inlineStr">
        <is>
          <t>LOW</t>
        </is>
      </c>
      <c r="I11" s="9" t="inlineStr">
        <is>
          <t>Hybrid technology: 7-year service life, no yellowing</t>
        </is>
      </c>
    </row>
    <row r="12" ht="22" customHeight="1">
      <c r="B12" s="11" t="n">
        <v>8</v>
      </c>
      <c r="C12" s="12" t="inlineStr">
        <is>
          <t>Smooth ceiling without streaks</t>
        </is>
      </c>
      <c r="D12" s="12" t="inlineStr">
        <is>
          <t>Ceilings</t>
        </is>
      </c>
      <c r="E12" s="12" t="inlineStr">
        <is>
          <t>Ceiling paint leaves streaks, roller marks</t>
        </is>
      </c>
      <c r="F12" s="12" t="inlineStr">
        <is>
          <t>1 + 4 = 5 SKU</t>
        </is>
      </c>
      <c r="G12" s="12" t="inlineStr">
        <is>
          <t>Economy</t>
        </is>
      </c>
      <c r="H12" s="12" t="inlineStr">
        <is>
          <t>LOW</t>
        </is>
      </c>
      <c r="I12" s="12" t="inlineStr">
        <is>
          <t>Primer prevents spots and reduces consumption by 30%</t>
        </is>
      </c>
    </row>
    <row r="13" ht="22" customHeight="1">
      <c r="B13" s="8" t="n">
        <v>9</v>
      </c>
      <c r="C13" s="9" t="inlineStr">
        <is>
          <t>Washable walls</t>
        </is>
      </c>
      <c r="D13" s="9" t="inlineStr">
        <is>
          <t>Interior</t>
        </is>
      </c>
      <c r="E13" s="9" t="inlineStr">
        <is>
          <t>Walls get dirty, regular paint dissolves when washed</t>
        </is>
      </c>
      <c r="F13" s="9" t="inlineStr">
        <is>
          <t>1 + 4 = 5 SKU</t>
        </is>
      </c>
      <c r="G13" s="9" t="inlineStr">
        <is>
          <t>Mid</t>
        </is>
      </c>
      <c r="H13" s="9" t="inlineStr">
        <is>
          <t>LOW</t>
        </is>
      </c>
      <c r="I13" s="9" t="inlineStr">
        <is>
          <t>Primer saves paint - pays off in 1 cycle</t>
        </is>
      </c>
    </row>
    <row r="14" ht="22" customHeight="1">
      <c r="B14" s="11" t="n">
        <v>10</v>
      </c>
      <c r="C14" s="12" t="inlineStr">
        <is>
          <t>House facade painting</t>
        </is>
      </c>
      <c r="D14" s="12" t="inlineStr">
        <is>
          <t>Facade</t>
        </is>
      </c>
      <c r="E14" s="12" t="inlineStr">
        <is>
          <t>Facade cracked, faded</t>
        </is>
      </c>
      <c r="F14" s="12" t="inlineStr">
        <is>
          <t>1 + 2 = 3 SKU</t>
        </is>
      </c>
      <c r="G14" s="12" t="inlineStr">
        <is>
          <t>Mid</t>
        </is>
      </c>
      <c r="H14" s="12" t="inlineStr">
        <is>
          <t>LOW</t>
        </is>
      </c>
      <c r="I14" s="12" t="inlineStr">
        <is>
          <t>Without primer consumption is 1.5x higher - 30% overpayment</t>
        </is>
      </c>
    </row>
    <row r="15" ht="22" customHeight="1">
      <c r="B15" s="8" t="n">
        <v>11</v>
      </c>
      <c r="C15" s="9" t="inlineStr">
        <is>
          <t>Decorative wall with texture</t>
        </is>
      </c>
      <c r="D15" s="9" t="inlineStr">
        <is>
          <t>Interior / Decor</t>
        </is>
      </c>
      <c r="E15" s="9" t="inlineStr">
        <is>
          <t>Flat paint is boring, want texture</t>
        </is>
      </c>
      <c r="F15" s="9" t="inlineStr">
        <is>
          <t>1 + 2 = 3 SKU</t>
        </is>
      </c>
      <c r="G15" s="9" t="inlineStr">
        <is>
          <t>Mid</t>
        </is>
      </c>
      <c r="H15" s="9" t="inlineStr">
        <is>
          <t>LOW</t>
        </is>
      </c>
      <c r="I15" s="9" t="inlineStr">
        <is>
          <t>Hides wall defects - saves on leveling</t>
        </is>
      </c>
    </row>
    <row r="16" ht="22" customHeight="1">
      <c r="B16" s="11" t="n">
        <v>12</v>
      </c>
      <c r="C16" s="12" t="inlineStr">
        <is>
          <t>Radiator painting without odor</t>
        </is>
      </c>
      <c r="D16" s="12" t="inlineStr">
        <is>
          <t>Radiators</t>
        </is>
      </c>
      <c r="E16" s="12" t="inlineStr">
        <is>
          <t>Rusty radiators, paint yellows from heat</t>
        </is>
      </c>
      <c r="F16" s="12" t="inlineStr">
        <is>
          <t>10 + 1 = 11 SKU</t>
        </is>
      </c>
      <c r="G16" s="12" t="inlineStr">
        <is>
          <t>Economy</t>
        </is>
      </c>
      <c r="H16" s="29" t="inlineStr">
        <is>
          <t>MEDIUM</t>
        </is>
      </c>
      <c r="I16" s="12" t="inlineStr">
        <is>
          <t>GF-021 + enamel lasts 7 yrs vs 4 without primer</t>
        </is>
      </c>
    </row>
    <row r="17" ht="22" customHeight="1">
      <c r="B17" s="8" t="n">
        <v>13</v>
      </c>
      <c r="C17" s="9" t="inlineStr">
        <is>
          <t>Heavy-duty rusty metal protection</t>
        </is>
      </c>
      <c r="D17" s="9" t="inlineStr">
        <is>
          <t>Metal (harsh)</t>
        </is>
      </c>
      <c r="E17" s="9" t="inlineStr">
        <is>
          <t>Metal heavily rusted - 3v1 won't cope</t>
        </is>
      </c>
      <c r="F17" s="9" t="inlineStr">
        <is>
          <t>10 + 78 = 88 SKU</t>
        </is>
      </c>
      <c r="G17" s="9" t="inlineStr">
        <is>
          <t>Mid</t>
        </is>
      </c>
      <c r="H17" s="27" t="inlineStr">
        <is>
          <t>HIGH</t>
        </is>
      </c>
      <c r="I17" s="9" t="inlineStr">
        <is>
          <t>GF-021 + TITAN = 12 yrs vs 3v1 = 4 - up to 42% savings</t>
        </is>
      </c>
    </row>
    <row r="18" ht="22" customHeight="1">
      <c r="B18" s="11" t="n">
        <v>14</v>
      </c>
      <c r="C18" s="12" t="inlineStr">
        <is>
          <t>Metal floor / decking</t>
        </is>
      </c>
      <c r="D18" s="12" t="inlineStr">
        <is>
          <t>Metal + Floors</t>
        </is>
      </c>
      <c r="E18" s="12" t="inlineStr">
        <is>
          <t>Metal decking rusts and gets slippery</t>
        </is>
      </c>
      <c r="F18" s="12" t="inlineStr">
        <is>
          <t>10 + 21 = 31 SKU</t>
        </is>
      </c>
      <c r="G18" s="12" t="inlineStr">
        <is>
          <t>Mid</t>
        </is>
      </c>
      <c r="H18" s="28" t="inlineStr">
        <is>
          <t>HIGH</t>
        </is>
      </c>
      <c r="I18" s="12" t="inlineStr">
        <is>
          <t>Without GF-021 paint peels in 3 yrs - 2x overpayment</t>
        </is>
      </c>
    </row>
  </sheetData>
  <mergeCells count="1">
    <mergeCell ref="B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15" customHeight="1"/>
    <row r="2" ht="32" customHeight="1">
      <c r="B2" s="1" t="inlineStr">
        <is>
          <t>TCO SCENARIOS FOR METAL - DETAILED</t>
        </is>
      </c>
    </row>
    <row r="3" ht="8" customHeight="1"/>
    <row r="4">
      <c r="B4" s="2" t="inlineStr">
        <is>
          <t>TCO MATRIX: CHAIN x OBJECT (RUB for 10 years)</t>
        </is>
      </c>
    </row>
    <row r="5" ht="28" customHeight="1">
      <c r="B5" s="7" t="inlineStr">
        <is>
          <t>Chain variant</t>
        </is>
      </c>
      <c r="C5" s="7" t="inlineStr">
        <is>
          <t>Metal gate
(16 m2)</t>
        </is>
      </c>
      <c r="D5" s="7" t="inlineStr">
        <is>
          <t>Metal garage
(54 m2)</t>
        </is>
      </c>
      <c r="E5" s="7" t="inlineStr">
        <is>
          <t>Metal door
(4.4 m2)</t>
        </is>
      </c>
      <c r="F5" s="7" t="inlineStr">
        <is>
          <t>Metal fence
(30 m2)</t>
        </is>
      </c>
    </row>
    <row r="6" ht="22" customHeight="1">
      <c r="B6" s="9" t="inlineStr">
        <is>
          <t>1. Economy: GF-021 + PF-115 ProstoKRASKA</t>
        </is>
      </c>
      <c r="C6" s="18" t="n">
        <v>28321</v>
      </c>
      <c r="D6" s="18" t="n">
        <v>95584</v>
      </c>
      <c r="E6" s="18" t="n">
        <v>7788</v>
      </c>
      <c r="F6" s="18" t="n">
        <v>53102</v>
      </c>
    </row>
    <row r="7" ht="22" customHeight="1">
      <c r="B7" s="12" t="inlineStr">
        <is>
          <t>1. Mid: GF-021 + PF-115 OREOL Premium</t>
        </is>
      </c>
      <c r="C7" s="20" t="n">
        <v>16636</v>
      </c>
      <c r="D7" s="20" t="n">
        <v>56145</v>
      </c>
      <c r="E7" s="20" t="n">
        <v>4575</v>
      </c>
      <c r="F7" s="20" t="n">
        <v>31192</v>
      </c>
    </row>
    <row r="8" ht="22" customHeight="1">
      <c r="B8" s="9" t="inlineStr">
        <is>
          <t>2. 3v1 OREOL</t>
        </is>
      </c>
      <c r="C8" s="18" t="n">
        <v>16464</v>
      </c>
      <c r="D8" s="18" t="n">
        <v>55566</v>
      </c>
      <c r="E8" s="18" t="n">
        <v>4528</v>
      </c>
      <c r="F8" s="18" t="n">
        <v>30870</v>
      </c>
    </row>
    <row r="9" ht="22" customHeight="1">
      <c r="B9" s="12" t="inlineStr">
        <is>
          <t>2. Paint Lab</t>
        </is>
      </c>
      <c r="C9" s="20" t="n">
        <v>11485</v>
      </c>
      <c r="D9" s="20" t="n">
        <v>38761</v>
      </c>
      <c r="E9" s="20" t="n">
        <v>3158</v>
      </c>
      <c r="F9" s="20" t="n">
        <v>21534</v>
      </c>
    </row>
    <row r="10" ht="22" customHeight="1">
      <c r="B10" s="9" t="inlineStr">
        <is>
          <t>2. TITAN (premium)</t>
        </is>
      </c>
      <c r="C10" s="18" t="n">
        <v>13114</v>
      </c>
      <c r="D10" s="18" t="n">
        <v>44258</v>
      </c>
      <c r="E10" s="18" t="n">
        <v>3606</v>
      </c>
      <c r="F10" s="18" t="n">
        <v>24588</v>
      </c>
    </row>
    <row r="11" ht="22" customHeight="1">
      <c r="B11" s="12" t="inlineStr">
        <is>
          <t>3. TITAN (primer-enamel on rust)</t>
        </is>
      </c>
      <c r="C11" s="20" t="n">
        <v>13114</v>
      </c>
      <c r="D11" s="20" t="n">
        <v>44258</v>
      </c>
      <c r="E11" s="20" t="n">
        <v>3606</v>
      </c>
      <c r="F11" s="20" t="n">
        <v>24588</v>
      </c>
    </row>
    <row r="12" ht="22" customHeight="1">
      <c r="B12" s="9" t="inlineStr">
        <is>
          <t>4. Paint Lab</t>
        </is>
      </c>
      <c r="C12" s="18" t="n">
        <v>11485</v>
      </c>
      <c r="D12" s="18" t="n">
        <v>38761</v>
      </c>
      <c r="E12" s="18" t="n">
        <v>3158</v>
      </c>
      <c r="F12" s="18" t="n">
        <v>21534</v>
      </c>
    </row>
    <row r="13" ht="22" customHeight="1">
      <c r="B13" s="12" t="inlineStr">
        <is>
          <t>13. 3v1 only</t>
        </is>
      </c>
      <c r="C13" s="20" t="n">
        <v>16464</v>
      </c>
      <c r="D13" s="20" t="n">
        <v>55566</v>
      </c>
      <c r="E13" s="20" t="n">
        <v>4528</v>
      </c>
      <c r="F13" s="20" t="n">
        <v>30870</v>
      </c>
    </row>
    <row r="14" ht="22" customHeight="1">
      <c r="B14" s="9" t="inlineStr">
        <is>
          <t>13. GF-021 + 3v1 (double protection)</t>
        </is>
      </c>
      <c r="C14" s="18" t="n">
        <v>9627</v>
      </c>
      <c r="D14" s="18" t="n">
        <v>32491</v>
      </c>
      <c r="E14" s="18" t="n">
        <v>2647</v>
      </c>
      <c r="F14" s="18" t="n">
        <v>18050</v>
      </c>
    </row>
    <row r="15" ht="22" customHeight="1">
      <c r="B15" s="12" t="inlineStr">
        <is>
          <t>13. GF-021 + TITAN (maximum)</t>
        </is>
      </c>
      <c r="C15" s="20" t="n">
        <v>10696</v>
      </c>
      <c r="D15" s="20" t="n">
        <v>36098</v>
      </c>
      <c r="E15" s="20" t="n">
        <v>2941</v>
      </c>
      <c r="F15" s="20" t="n">
        <v>20054</v>
      </c>
    </row>
    <row r="16" ht="22" customHeight="1">
      <c r="B16" s="9" t="inlineStr">
        <is>
          <t>14. Ratsvet only (no anticorrosion)</t>
        </is>
      </c>
      <c r="C16" s="18" t="n">
        <v>20500</v>
      </c>
      <c r="D16" s="18" t="n">
        <v>69189</v>
      </c>
      <c r="E16" s="18" t="n">
        <v>5638</v>
      </c>
      <c r="F16" s="18" t="n">
        <v>38438</v>
      </c>
    </row>
    <row r="17" ht="22" customHeight="1">
      <c r="B17" s="12" t="inlineStr">
        <is>
          <t>14. Recommended: GF-021 + Ratsvet</t>
        </is>
      </c>
      <c r="C17" s="20" t="n">
        <v>15589</v>
      </c>
      <c r="D17" s="20" t="n">
        <v>52613</v>
      </c>
      <c r="E17" s="20" t="n">
        <v>4287</v>
      </c>
      <c r="F17" s="20" t="n">
        <v>29230</v>
      </c>
    </row>
    <row r="20">
      <c r="B20" s="2" t="inlineStr">
        <is>
          <t>TCO PER 1 m2 (RUB/m2 for 10 years)</t>
        </is>
      </c>
    </row>
    <row r="21" ht="28" customHeight="1">
      <c r="B21" s="7" t="inlineStr">
        <is>
          <t>Chain variant</t>
        </is>
      </c>
      <c r="C21" s="7" t="inlineStr">
        <is>
          <t>Metal gate
(16 m2)</t>
        </is>
      </c>
      <c r="D21" s="7" t="inlineStr">
        <is>
          <t>Metal garage
(54 m2)</t>
        </is>
      </c>
      <c r="E21" s="7" t="inlineStr">
        <is>
          <t>Metal door
(4.4 m2)</t>
        </is>
      </c>
      <c r="F21" s="7" t="inlineStr">
        <is>
          <t>Metal fence
(30 m2)</t>
        </is>
      </c>
    </row>
    <row r="22" ht="22" customHeight="1">
      <c r="B22" s="9" t="inlineStr">
        <is>
          <t>1. Economy: GF-021 + PF-115 ProstoKRASKA</t>
        </is>
      </c>
      <c r="C22" s="18" t="n">
        <v>1770</v>
      </c>
      <c r="D22" s="18" t="n">
        <v>1770</v>
      </c>
      <c r="E22" s="18" t="n">
        <v>1770</v>
      </c>
      <c r="F22" s="18" t="n">
        <v>1770</v>
      </c>
    </row>
    <row r="23" ht="22" customHeight="1">
      <c r="B23" s="12" t="inlineStr">
        <is>
          <t>1. Mid: GF-021 + PF-115 OREOL Premium</t>
        </is>
      </c>
      <c r="C23" s="20" t="n">
        <v>1040</v>
      </c>
      <c r="D23" s="20" t="n">
        <v>1040</v>
      </c>
      <c r="E23" s="20" t="n">
        <v>1040</v>
      </c>
      <c r="F23" s="20" t="n">
        <v>1040</v>
      </c>
    </row>
    <row r="24" ht="22" customHeight="1">
      <c r="B24" s="9" t="inlineStr">
        <is>
          <t>2. 3v1 OREOL</t>
        </is>
      </c>
      <c r="C24" s="18" t="n">
        <v>1029</v>
      </c>
      <c r="D24" s="18" t="n">
        <v>1029</v>
      </c>
      <c r="E24" s="18" t="n">
        <v>1029</v>
      </c>
      <c r="F24" s="18" t="n">
        <v>1029</v>
      </c>
    </row>
    <row r="25" ht="22" customHeight="1">
      <c r="B25" s="12" t="inlineStr">
        <is>
          <t>2. Paint Lab</t>
        </is>
      </c>
      <c r="C25" s="20" t="n">
        <v>718</v>
      </c>
      <c r="D25" s="20" t="n">
        <v>718</v>
      </c>
      <c r="E25" s="20" t="n">
        <v>718</v>
      </c>
      <c r="F25" s="20" t="n">
        <v>718</v>
      </c>
    </row>
    <row r="26" ht="22" customHeight="1">
      <c r="B26" s="9" t="inlineStr">
        <is>
          <t>2. TITAN (premium)</t>
        </is>
      </c>
      <c r="C26" s="18" t="n">
        <v>820</v>
      </c>
      <c r="D26" s="18" t="n">
        <v>820</v>
      </c>
      <c r="E26" s="18" t="n">
        <v>820</v>
      </c>
      <c r="F26" s="18" t="n">
        <v>820</v>
      </c>
    </row>
    <row r="27" ht="22" customHeight="1">
      <c r="B27" s="12" t="inlineStr">
        <is>
          <t>3. TITAN (primer-enamel on rust)</t>
        </is>
      </c>
      <c r="C27" s="20" t="n">
        <v>820</v>
      </c>
      <c r="D27" s="20" t="n">
        <v>820</v>
      </c>
      <c r="E27" s="20" t="n">
        <v>820</v>
      </c>
      <c r="F27" s="20" t="n">
        <v>820</v>
      </c>
    </row>
    <row r="28" ht="22" customHeight="1">
      <c r="B28" s="9" t="inlineStr">
        <is>
          <t>4. Paint Lab</t>
        </is>
      </c>
      <c r="C28" s="18" t="n">
        <v>718</v>
      </c>
      <c r="D28" s="18" t="n">
        <v>718</v>
      </c>
      <c r="E28" s="18" t="n">
        <v>718</v>
      </c>
      <c r="F28" s="18" t="n">
        <v>718</v>
      </c>
    </row>
    <row r="29" ht="22" customHeight="1">
      <c r="B29" s="12" t="inlineStr">
        <is>
          <t>13. 3v1 only</t>
        </is>
      </c>
      <c r="C29" s="20" t="n">
        <v>1029</v>
      </c>
      <c r="D29" s="20" t="n">
        <v>1029</v>
      </c>
      <c r="E29" s="20" t="n">
        <v>1029</v>
      </c>
      <c r="F29" s="20" t="n">
        <v>1029</v>
      </c>
    </row>
    <row r="30" ht="22" customHeight="1">
      <c r="B30" s="9" t="inlineStr">
        <is>
          <t>13. GF-021 + 3v1 (double protection)</t>
        </is>
      </c>
      <c r="C30" s="18" t="n">
        <v>602</v>
      </c>
      <c r="D30" s="18" t="n">
        <v>602</v>
      </c>
      <c r="E30" s="18" t="n">
        <v>602</v>
      </c>
      <c r="F30" s="18" t="n">
        <v>602</v>
      </c>
    </row>
    <row r="31" ht="22" customHeight="1">
      <c r="B31" s="12" t="inlineStr">
        <is>
          <t>13. GF-021 + TITAN (maximum)</t>
        </is>
      </c>
      <c r="C31" s="20" t="n">
        <v>668</v>
      </c>
      <c r="D31" s="20" t="n">
        <v>668</v>
      </c>
      <c r="E31" s="20" t="n">
        <v>668</v>
      </c>
      <c r="F31" s="20" t="n">
        <v>668</v>
      </c>
    </row>
    <row r="32" ht="22" customHeight="1">
      <c r="B32" s="9" t="inlineStr">
        <is>
          <t>14. Ratsvet only (no anticorrosion)</t>
        </is>
      </c>
      <c r="C32" s="18" t="n">
        <v>1281</v>
      </c>
      <c r="D32" s="18" t="n">
        <v>1281</v>
      </c>
      <c r="E32" s="18" t="n">
        <v>1281</v>
      </c>
      <c r="F32" s="18" t="n">
        <v>1281</v>
      </c>
    </row>
    <row r="33" ht="22" customHeight="1">
      <c r="B33" s="12" t="inlineStr">
        <is>
          <t>14. Recommended: GF-021 + Ratsvet</t>
        </is>
      </c>
      <c r="C33" s="20" t="n">
        <v>974</v>
      </c>
      <c r="D33" s="20" t="n">
        <v>974</v>
      </c>
      <c r="E33" s="20" t="n">
        <v>974</v>
      </c>
      <c r="F33" s="20" t="n">
        <v>974</v>
      </c>
    </row>
    <row r="36">
      <c r="B36" t="inlineStr">
        <is>
          <t>Variant</t>
        </is>
      </c>
      <c r="C36" t="inlineStr">
        <is>
          <t>Gate 16m2</t>
        </is>
      </c>
      <c r="D36" t="inlineStr">
        <is>
          <t>Garage 54m2</t>
        </is>
      </c>
      <c r="E36" t="inlineStr">
        <is>
          <t>Door 4.4m2</t>
        </is>
      </c>
    </row>
    <row r="37">
      <c r="B37" t="inlineStr">
        <is>
          <t xml:space="preserve">1. Economy: GF-021 + PF-115 </t>
        </is>
      </c>
      <c r="C37" s="26" t="n">
        <v>28321</v>
      </c>
      <c r="D37" s="26" t="n">
        <v>95584</v>
      </c>
      <c r="E37" s="26" t="n">
        <v>7788</v>
      </c>
    </row>
    <row r="38">
      <c r="B38" t="inlineStr">
        <is>
          <t>1. Mid: GF-021 + PF-115 OREO</t>
        </is>
      </c>
      <c r="C38" s="26" t="n">
        <v>16636</v>
      </c>
      <c r="D38" s="26" t="n">
        <v>56145</v>
      </c>
      <c r="E38" s="26" t="n">
        <v>4575</v>
      </c>
    </row>
    <row r="39">
      <c r="B39" t="inlineStr">
        <is>
          <t>2. 3v1 OREOL</t>
        </is>
      </c>
      <c r="C39" s="26" t="n">
        <v>16464</v>
      </c>
      <c r="D39" s="26" t="n">
        <v>55566</v>
      </c>
      <c r="E39" s="26" t="n">
        <v>4528</v>
      </c>
    </row>
    <row r="40">
      <c r="B40" t="inlineStr">
        <is>
          <t>2. Paint Lab</t>
        </is>
      </c>
      <c r="C40" s="26" t="n">
        <v>11485</v>
      </c>
      <c r="D40" s="26" t="n">
        <v>38761</v>
      </c>
      <c r="E40" s="26" t="n">
        <v>3158</v>
      </c>
    </row>
    <row r="41">
      <c r="B41" t="inlineStr">
        <is>
          <t>2. TITAN (premium)</t>
        </is>
      </c>
      <c r="C41" s="26" t="n">
        <v>13114</v>
      </c>
      <c r="D41" s="26" t="n">
        <v>44258</v>
      </c>
      <c r="E41" s="26" t="n">
        <v>3606</v>
      </c>
    </row>
    <row r="42">
      <c r="B42" t="inlineStr">
        <is>
          <t>3. TITAN (primer-enamel on r</t>
        </is>
      </c>
      <c r="C42" s="26" t="n">
        <v>13114</v>
      </c>
      <c r="D42" s="26" t="n">
        <v>44258</v>
      </c>
      <c r="E42" s="26" t="n">
        <v>3606</v>
      </c>
    </row>
    <row r="43">
      <c r="B43" t="inlineStr">
        <is>
          <t>4. Paint Lab</t>
        </is>
      </c>
      <c r="C43" s="26" t="n">
        <v>11485</v>
      </c>
      <c r="D43" s="26" t="n">
        <v>38761</v>
      </c>
      <c r="E43" s="26" t="n">
        <v>3158</v>
      </c>
    </row>
    <row r="44">
      <c r="B44" t="inlineStr">
        <is>
          <t>13. 3v1 only</t>
        </is>
      </c>
      <c r="C44" s="26" t="n">
        <v>16464</v>
      </c>
      <c r="D44" s="26" t="n">
        <v>55566</v>
      </c>
      <c r="E44" s="26" t="n">
        <v>4528</v>
      </c>
    </row>
    <row r="45">
      <c r="B45" t="inlineStr">
        <is>
          <t>13. GF-021 + 3v1 (double prot</t>
        </is>
      </c>
      <c r="C45" s="26" t="n">
        <v>9627</v>
      </c>
      <c r="D45" s="26" t="n">
        <v>32491</v>
      </c>
      <c r="E45" s="26" t="n">
        <v>2647</v>
      </c>
    </row>
    <row r="46">
      <c r="B46" t="inlineStr">
        <is>
          <t>13. GF-021 + TITAN (maximum)</t>
        </is>
      </c>
      <c r="C46" s="26" t="n">
        <v>10696</v>
      </c>
      <c r="D46" s="26" t="n">
        <v>36098</v>
      </c>
      <c r="E46" s="26" t="n">
        <v>2941</v>
      </c>
    </row>
    <row r="47">
      <c r="B47" t="inlineStr">
        <is>
          <t>14. Ratsvet only (no anticorr</t>
        </is>
      </c>
      <c r="C47" s="26" t="n">
        <v>20500</v>
      </c>
      <c r="D47" s="26" t="n">
        <v>69189</v>
      </c>
      <c r="E47" s="26" t="n">
        <v>5638</v>
      </c>
    </row>
    <row r="48">
      <c r="B48" t="inlineStr">
        <is>
          <t>14. Recommended: GF-021 + Rat</t>
        </is>
      </c>
      <c r="C48" s="26" t="n">
        <v>15589</v>
      </c>
      <c r="D48" s="26" t="n">
        <v>52613</v>
      </c>
      <c r="E48" s="26" t="n">
        <v>4287</v>
      </c>
    </row>
  </sheetData>
  <mergeCells count="3">
    <mergeCell ref="B2:L2"/>
    <mergeCell ref="B4:L4"/>
    <mergeCell ref="B20:L20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1" ht="15" customHeight="1"/>
    <row r="2" ht="32" customHeight="1">
      <c r="B2" s="1" t="inlineStr">
        <is>
          <t>TCO CALCULATION METHODOLOGY</t>
        </is>
      </c>
    </row>
    <row r="3" ht="8" customHeight="1"/>
    <row r="4">
      <c r="B4" s="2" t="inlineStr">
        <is>
          <t>TCO Formula</t>
        </is>
      </c>
    </row>
    <row r="5" ht="45" customHeight="1">
      <c r="B5" s="30" t="inlineStr">
        <is>
          <t>TCO = Initial cost + (Cycles - 1) x Repaint cost</t>
        </is>
      </c>
    </row>
    <row r="6" ht="20" customHeight="1"/>
    <row r="8">
      <c r="B8" s="2" t="inlineStr">
        <is>
          <t>Number of cycles</t>
        </is>
      </c>
    </row>
    <row r="9" ht="45" customHeight="1">
      <c r="B9" s="30" t="inlineStr">
        <is>
          <t>Cycle = ONE complete painting process (primer + top coat, or 3v1 only).
Cycles = CEILING(Horizon / Service life).
Example: horizon 10 years, service life 3 years -&gt; 4 cycles (years 0, 3, 6, 9).</t>
        </is>
      </c>
    </row>
    <row r="10" ht="20" customHeight="1"/>
    <row r="12">
      <c r="B12" s="2" t="inlineStr">
        <is>
          <t>Initial cost</t>
        </is>
      </c>
    </row>
    <row r="13" ht="45" customHeight="1">
      <c r="B13" s="30" t="inlineStr">
        <is>
          <t>Initial = (Material per m2 + Labor per m2) x Area.
Material = sum(Consumption g/m2 x Layers x Price per kg/l / 1000) for all steps.
Labor = sum(Rate per m2) for all steps.</t>
        </is>
      </c>
    </row>
    <row r="14" ht="20" customHeight="1"/>
    <row r="16">
      <c r="B16" s="2" t="inlineStr">
        <is>
          <t>Repaint cost</t>
        </is>
      </c>
    </row>
    <row r="17" ht="45" customHeight="1">
      <c r="B17" s="30" t="inlineStr">
        <is>
          <t>KEY INSIGHT: repaints are CHEAPER than initial painting!
- 2-step chains (primer + paint): repaint = top coat only + light prep = ~55-65% of initial
- 1-step chains (3v1, TITAN): repaint = sanding + new coat = ~85% of initial
- Without primer: every repaint = full cost = 100% of initial</t>
        </is>
      </c>
    </row>
    <row r="18" ht="20" customHeight="1"/>
    <row r="20">
      <c r="B20" s="2" t="inlineStr">
        <is>
          <t>Material cost per m2</t>
        </is>
      </c>
    </row>
    <row r="21" ht="45" customHeight="1">
      <c r="B21" s="30" t="inlineStr">
        <is>
          <t>Consumption (g/m2/layer) x Number of layers x Price per kg or liter / 1000.
Prices are retail Lemana PRO (largest pack for best value).
Example: GF-021 primer: 70 g/m2 x 1 layer x 124 RUB/kg / 1000 = 8.68 RUB/m2</t>
        </is>
      </c>
    </row>
    <row r="22" ht="20" customHeight="1"/>
    <row r="24">
      <c r="B24" s="2" t="inlineStr">
        <is>
          <t>Service life</t>
        </is>
      </c>
    </row>
    <row r="25" ht="45" customHeight="1">
      <c r="B25" s="30" t="inlineStr">
        <is>
          <t>Estimate based on product technical specs and real-world experience.
Exterior surfaces (metal, facade) = shorter life (harsh conditions).
Interior surfaces (ceilings, walls) = longer life (mild conditions).
Without primer = shorter life (poor adhesion, uneven absorption).</t>
        </is>
      </c>
    </row>
    <row r="26" ht="20" customHeight="1"/>
    <row r="28">
      <c r="B28" s="2" t="inlineStr">
        <is>
          <t>Assumptions</t>
        </is>
      </c>
    </row>
    <row r="29" ht="45" customHeight="1">
      <c r="B29" s="30" t="inlineStr">
        <is>
          <t>1. Repaint = repaint cost (not full initial cost) - primer persists.
2. Prices are approximate Lemana PRO retail for 2025-2026.
3. Consumption rates per manufacturer TDS, with ~10% margin.
4. Labor performed by hired professionals (not DIY).
5. Labor rates are Russian average for 2025-2026.
6. 'Without primer' options have 1.5-1.8x higher consumption.</t>
        </is>
      </c>
    </row>
    <row r="30" ht="20" customHeight="1"/>
    <row r="32">
      <c r="B32" s="2" t="inlineStr">
        <is>
          <t>Why TCO &gt; price per can</t>
        </is>
      </c>
    </row>
    <row r="33" ht="45" customHeight="1">
      <c r="B33" s="30" t="inlineStr">
        <is>
          <t>Paint at 190 RUB/kg requiring repainting every 2 years costs MORE over 10 years
than paint at 1100 RUB/kg lasting 8 years.
TCO accounts for ALL costs: materials + labor x number of cycles.</t>
        </is>
      </c>
    </row>
    <row r="34" ht="20" customHeight="1"/>
    <row r="36">
      <c r="B36" s="2" t="inlineStr">
        <is>
          <t>Savings column logic</t>
        </is>
      </c>
    </row>
    <row r="37" ht="45" customHeight="1">
      <c r="B37" s="30" t="inlineStr">
        <is>
          <t>Savings = TCO(most expensive variant) - TCO(this variant).
Positive savings = this variant is cheaper than the most expensive one.
The best variant always shows the highest savings (green).
The most expensive variant shows 0 savings (red).</t>
        </is>
      </c>
    </row>
    <row r="38" ht="20" customHeight="1"/>
  </sheetData>
  <mergeCells count="19">
    <mergeCell ref="B24:H24"/>
    <mergeCell ref="B17:H18"/>
    <mergeCell ref="B20:H20"/>
    <mergeCell ref="B29:H30"/>
    <mergeCell ref="B36:H36"/>
    <mergeCell ref="B32:H32"/>
    <mergeCell ref="B4:H4"/>
    <mergeCell ref="B13:H14"/>
    <mergeCell ref="B16:H16"/>
    <mergeCell ref="B37:H38"/>
    <mergeCell ref="B9:H10"/>
    <mergeCell ref="B12:H12"/>
    <mergeCell ref="B2:H2"/>
    <mergeCell ref="B33:H34"/>
    <mergeCell ref="B5:H6"/>
    <mergeCell ref="B8:H8"/>
    <mergeCell ref="B25:H26"/>
    <mergeCell ref="B21:H22"/>
    <mergeCell ref="B28:H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2026-06-22T05:54:32Z</dcterms:created>
  <dcterms:modified xmlns:dcterms="http://purl.org/dc/terms/" xmlns:xsi="http://www.w3.org/2001/XMLSchema-instance" xsi:type="dcterms:W3CDTF">2026-06-22T05:54:32Z</dcterms:modified>
</cp:coreProperties>
</file>