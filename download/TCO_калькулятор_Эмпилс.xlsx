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лькулятор TCO" sheetId="1" state="visible" r:id="rId1"/>
    <sheet xmlns:r="http://schemas.openxmlformats.org/officeDocument/2006/relationships" name="Сценарии" sheetId="2" state="visible" r:id="rId2"/>
    <sheet xmlns:r="http://schemas.openxmlformats.org/officeDocument/2006/relationships" name="Инструкци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30">
    <font>
      <name val="Calibri"/>
      <family val="2"/>
      <color theme="1"/>
      <sz val="11"/>
      <scheme val="minor"/>
    </font>
    <font>
      <name val="Calibri"/>
      <b val="1"/>
      <color rgb="000A2540"/>
      <sz val="18"/>
    </font>
    <font>
      <name val="Calibri"/>
      <color rgb="00888888"/>
      <sz val="11"/>
    </font>
    <font>
      <name val="Calibri"/>
      <b val="1"/>
      <color rgb="00E86C00"/>
      <sz val="10"/>
    </font>
    <font>
      <name val="Calibri"/>
      <b val="1"/>
      <color rgb="00FFFFFF"/>
      <sz val="12"/>
    </font>
    <font>
      <name val="Calibri"/>
      <b val="1"/>
      <color rgb="000A2540"/>
      <sz val="10"/>
    </font>
    <font>
      <name val="Calibri"/>
      <b val="1"/>
      <color rgb="000000FF"/>
      <sz val="11"/>
    </font>
    <font>
      <name val="Calibri"/>
      <color rgb="00888888"/>
      <sz val="9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b val="1"/>
      <color rgb="00333333"/>
      <sz val="12"/>
    </font>
    <font>
      <name val="Calibri"/>
      <b val="1"/>
      <color rgb="001B7D46"/>
      <sz val="12"/>
    </font>
    <font>
      <name val="Calibri"/>
      <b val="1"/>
      <color rgb="000A2540"/>
      <sz val="11"/>
    </font>
    <font>
      <name val="Calibri"/>
      <b val="1"/>
      <color rgb="00C0392B"/>
      <sz val="10"/>
    </font>
    <font>
      <name val="Calibri"/>
      <b val="1"/>
      <color rgb="00C0392B"/>
      <sz val="11"/>
    </font>
    <font>
      <name val="Calibri"/>
      <b val="1"/>
      <color rgb="001B7D46"/>
      <sz val="10"/>
    </font>
    <font>
      <name val="Calibri"/>
      <b val="1"/>
      <color rgb="001B7D46"/>
      <sz val="11"/>
    </font>
    <font>
      <name val="Calibri"/>
      <b val="1"/>
      <color rgb="000A2540"/>
      <sz val="12"/>
    </font>
    <font>
      <name val="Calibri"/>
      <b val="1"/>
      <color rgb="00C0392B"/>
      <sz val="13"/>
    </font>
    <font>
      <name val="Calibri"/>
      <b val="1"/>
      <color rgb="001B7D46"/>
      <sz val="13"/>
    </font>
    <font>
      <name val="Calibri"/>
      <b val="1"/>
      <color rgb="001B7D46"/>
      <sz val="14"/>
    </font>
    <font>
      <name val="Calibri"/>
      <b val="1"/>
      <color rgb="000A2540"/>
      <sz val="13"/>
    </font>
    <font>
      <name val="Calibri"/>
      <b val="1"/>
      <color rgb="00333333"/>
      <sz val="9"/>
    </font>
    <font>
      <name val="Calibri"/>
      <b val="1"/>
      <color rgb="000A2540"/>
      <sz val="16"/>
    </font>
    <font>
      <name val="Calibri"/>
      <color rgb="00888888"/>
      <sz val="10"/>
    </font>
    <font>
      <name val="Calibri"/>
      <color rgb="00888888"/>
      <sz val="12"/>
    </font>
    <font>
      <name val="Calibri"/>
      <color rgb="00333333"/>
      <sz val="11"/>
    </font>
    <font>
      <name val="Calibri"/>
      <b val="1"/>
      <color rgb="000A2540"/>
      <sz val="14"/>
    </font>
    <font>
      <name val="Calibri"/>
      <b val="1"/>
      <color rgb="00333333"/>
      <sz val="11"/>
    </font>
    <font>
      <name val="Calibri"/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00B4D8"/>
      </patternFill>
    </fill>
    <fill>
      <patternFill patternType="solid">
        <fgColor rgb="00FFFFCC"/>
      </patternFill>
    </fill>
    <fill>
      <patternFill patternType="solid">
        <fgColor rgb="000A2540"/>
      </patternFill>
    </fill>
    <fill>
      <patternFill patternType="solid">
        <fgColor rgb="00FDEDEC"/>
      </patternFill>
    </fill>
    <fill>
      <patternFill patternType="solid">
        <fgColor rgb="00E8F5E9"/>
      </patternFill>
    </fill>
    <fill>
      <patternFill patternType="solid">
        <fgColor rgb="00F0F7FA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medium">
        <color rgb="0000B4D8"/>
      </left>
      <right style="medium">
        <color rgb="0000B4D8"/>
      </right>
      <top style="medium">
        <color rgb="0000B4D8"/>
      </top>
      <bottom style="medium">
        <color rgb="0000B4D8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3" borderId="2" applyAlignment="1" applyProtection="1" pivotButton="0" quotePrefix="0" xfId="0">
      <alignment horizontal="center" vertical="center"/>
      <protection locked="0" hidden="0"/>
    </xf>
    <xf numFmtId="0" fontId="7" fillId="0" borderId="0" applyAlignment="1" pivotButton="0" quotePrefix="0" xfId="0">
      <alignment horizontal="left" vertical="center" wrapText="1"/>
    </xf>
    <xf numFmtId="3" fontId="6" fillId="3" borderId="2" applyAlignment="1" applyProtection="1" pivotButton="0" quotePrefix="0" xfId="0">
      <alignment horizontal="center" vertical="center"/>
      <protection locked="0" hidden="0"/>
    </xf>
    <xf numFmtId="164" fontId="6" fillId="3" borderId="2" applyAlignment="1" applyProtection="1" pivotButton="0" quotePrefix="0" xfId="0">
      <alignment horizontal="center" vertical="center"/>
      <protection locked="0" hidden="0"/>
    </xf>
    <xf numFmtId="1" fontId="6" fillId="3" borderId="2" applyAlignment="1" applyProtection="1" pivotButton="0" quotePrefix="0" xfId="0">
      <alignment horizontal="center" vertical="center"/>
      <protection locked="0" hidden="0"/>
    </xf>
    <xf numFmtId="0" fontId="8" fillId="4" borderId="0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3" fontId="9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7" fillId="0" borderId="1" pivotButton="0" quotePrefix="0" xfId="0"/>
    <xf numFmtId="0" fontId="12" fillId="5" borderId="0" applyAlignment="1" pivotButton="0" quotePrefix="0" xfId="0">
      <alignment horizontal="left" vertical="center" wrapText="1"/>
    </xf>
    <xf numFmtId="0" fontId="9" fillId="0" borderId="1" pivotButton="0" quotePrefix="0" xfId="0"/>
    <xf numFmtId="2" fontId="9" fillId="0" borderId="1" pivotButton="0" quotePrefix="0" xfId="0"/>
    <xf numFmtId="3" fontId="9" fillId="0" borderId="1" pivotButton="0" quotePrefix="0" xfId="0"/>
    <xf numFmtId="3" fontId="0" fillId="0" borderId="1" pivotButton="0" quotePrefix="0" xfId="0"/>
    <xf numFmtId="0" fontId="13" fillId="0" borderId="1" pivotButton="0" quotePrefix="0" xfId="0"/>
    <xf numFmtId="3" fontId="14" fillId="5" borderId="1" pivotButton="0" quotePrefix="0" xfId="0"/>
    <xf numFmtId="0" fontId="12" fillId="6" borderId="0" applyAlignment="1" pivotButton="0" quotePrefix="0" xfId="0">
      <alignment horizontal="left" vertical="center" wrapText="1"/>
    </xf>
    <xf numFmtId="0" fontId="15" fillId="0" borderId="1" pivotButton="0" quotePrefix="0" xfId="0"/>
    <xf numFmtId="3" fontId="16" fillId="6" borderId="1" pivotButton="0" quotePrefix="0" xfId="0"/>
    <xf numFmtId="0" fontId="4" fillId="4" borderId="0" applyAlignment="1" pivotButton="0" quotePrefix="0" xfId="0">
      <alignment horizontal="center" vertical="center" wrapText="1"/>
    </xf>
    <xf numFmtId="3" fontId="12" fillId="7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3" fontId="18" fillId="5" borderId="2" applyAlignment="1" pivotButton="0" quotePrefix="0" xfId="0">
      <alignment horizontal="center" vertical="center"/>
    </xf>
    <xf numFmtId="3" fontId="19" fillId="6" borderId="2" applyAlignment="1" pivotButton="0" quotePrefix="0" xfId="0">
      <alignment horizontal="center" vertical="center"/>
    </xf>
    <xf numFmtId="3" fontId="17" fillId="0" borderId="1" applyAlignment="1" pivotButton="0" quotePrefix="0" xfId="0">
      <alignment horizontal="center" vertical="center"/>
    </xf>
    <xf numFmtId="0" fontId="20" fillId="6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22" fillId="0" borderId="0" pivotButton="0" quotePrefix="0" xfId="0"/>
    <xf numFmtId="3" fontId="0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3" fontId="13" fillId="5" borderId="1" applyAlignment="1" pivotButton="0" quotePrefix="0" xfId="0">
      <alignment horizontal="center" vertical="center"/>
    </xf>
    <xf numFmtId="3" fontId="15" fillId="6" borderId="1" applyAlignment="1" pivotButton="0" quotePrefix="0" xfId="0">
      <alignment horizontal="center" vertical="center"/>
    </xf>
    <xf numFmtId="0" fontId="19" fillId="6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top" wrapText="1"/>
    </xf>
    <xf numFmtId="0" fontId="25" fillId="0" borderId="0" applyAlignment="1" pivotButton="0" quotePrefix="0" xfId="0">
      <alignment horizontal="left" vertical="top" wrapText="1"/>
    </xf>
    <xf numFmtId="0" fontId="26" fillId="0" borderId="0" applyAlignment="1" pivotButton="0" quotePrefix="0" xfId="0">
      <alignment horizontal="left" vertical="top" wrapText="1"/>
    </xf>
    <xf numFmtId="0" fontId="27" fillId="0" borderId="0" applyAlignment="1" pivotButton="0" quotePrefix="0" xfId="0">
      <alignment horizontal="left" vertical="top" wrapText="1"/>
    </xf>
    <xf numFmtId="0" fontId="28" fillId="0" borderId="0" applyAlignment="1" pivotButton="0" quotePrefix="0" xfId="0">
      <alignment horizontal="left" vertical="top" wrapText="1"/>
    </xf>
    <xf numFmtId="0" fontId="29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Сравнение TCO: Эконом vs Премиум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'Калькулятор TCO'!C56</f>
            </strRef>
          </tx>
          <spPr>
            <a:solidFill xmlns:a="http://schemas.openxmlformats.org/drawingml/2006/main">
              <a:srgbClr val="C0392B"/>
            </a:solidFill>
            <a:ln xmlns:a="http://schemas.openxmlformats.org/drawingml/2006/main">
              <a:prstDash val="solid"/>
            </a:ln>
          </spPr>
          <cat>
            <numRef>
              <f>'Калькулятор TCO'!$B$57:$B$60</f>
            </numRef>
          </cat>
          <val>
            <numRef>
              <f>'Калькулятор TCO'!$C$57:$C$60</f>
            </numRef>
          </val>
        </ser>
        <ser>
          <idx val="1"/>
          <order val="1"/>
          <tx>
            <strRef>
              <f>'Калькулятор TCO'!D56</f>
            </strRef>
          </tx>
          <spPr>
            <a:solidFill xmlns:a="http://schemas.openxmlformats.org/drawingml/2006/main">
              <a:srgbClr val="1B7D46"/>
            </a:solidFill>
            <a:ln xmlns:a="http://schemas.openxmlformats.org/drawingml/2006/main">
              <a:prstDash val="solid"/>
            </a:ln>
          </spPr>
          <cat>
            <numRef>
              <f>'Калькулятор TCO'!$B$57:$B$60</f>
            </numRef>
          </cat>
          <val>
            <numRef>
              <f>'Калькулятор TCO'!$D$57:$D$60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₽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Стоимость 1 года эксплуатации по сценариям (₽/год)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'Сценарии'!G13</f>
            </strRef>
          </tx>
          <spPr>
            <a:solidFill xmlns:a="http://schemas.openxmlformats.org/drawingml/2006/main">
              <a:srgbClr val="C0392B"/>
            </a:solidFill>
            <a:ln xmlns:a="http://schemas.openxmlformats.org/drawingml/2006/main">
              <a:prstDash val="solid"/>
            </a:ln>
          </spPr>
          <cat>
            <numRef>
              <f>'Сценарии'!$B$14:$B$18</f>
            </numRef>
          </cat>
          <val>
            <numRef>
              <f>'Сценарии'!$G$14:$G$18</f>
            </numRef>
          </val>
        </ser>
        <ser>
          <idx val="1"/>
          <order val="1"/>
          <tx>
            <strRef>
              <f>'Сценарии'!H13</f>
            </strRef>
          </tx>
          <spPr>
            <a:solidFill xmlns:a="http://schemas.openxmlformats.org/drawingml/2006/main">
              <a:srgbClr val="1B7D46"/>
            </a:solidFill>
            <a:ln xmlns:a="http://schemas.openxmlformats.org/drawingml/2006/main">
              <a:prstDash val="solid"/>
            </a:ln>
          </spPr>
          <cat>
            <numRef>
              <f>'Сценарии'!$B$14:$B$18</f>
            </numRef>
          </cat>
          <val>
            <numRef>
              <f>'Сценарии'!$H$14:$H$18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₽/год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" customWidth="1" min="8" max="8"/>
  </cols>
  <sheetData>
    <row r="1"/>
    <row r="2">
      <c r="B2" s="1" t="inlineStr">
        <is>
          <t>TCO-КАЛЬКУЛЯТОР ЭМПИЛС</t>
        </is>
      </c>
    </row>
    <row r="3">
      <c r="B3" s="2" t="inlineStr">
        <is>
          <t>Совокупная стоимость владения — инструмент обоснования цены премиум</t>
        </is>
      </c>
    </row>
    <row r="4">
      <c r="B4" s="3" t="inlineStr">
        <is>
          <t>Вводите данные в жёлтые ячейки — результаты рассчитываются автоматически</t>
        </is>
      </c>
    </row>
    <row r="5"/>
    <row r="6">
      <c r="B6" s="4" t="inlineStr">
        <is>
          <t>ВВОД ДАННЫХ</t>
        </is>
      </c>
    </row>
    <row r="7">
      <c r="B7" s="5" t="inlineStr">
        <is>
          <t>Тип помещения</t>
        </is>
      </c>
      <c r="C7" s="6" t="inlineStr">
        <is>
          <t>комната 20 м²</t>
        </is>
      </c>
      <c r="D7" s="7" t="inlineStr">
        <is>
          <t>Выберите из списка или введите свой вариант</t>
        </is>
      </c>
    </row>
    <row r="8">
      <c r="B8" s="5" t="inlineStr">
        <is>
          <t>Площадь стен (м²)</t>
        </is>
      </c>
      <c r="C8" s="8" t="n">
        <v>45</v>
      </c>
      <c r="D8" s="7" t="inlineStr">
        <is>
          <t>Площадь окрашиваемой поверхности</t>
        </is>
      </c>
    </row>
    <row r="9">
      <c r="B9" s="5" t="inlineStr">
        <is>
          <t>Высота потолков (м)</t>
        </is>
      </c>
      <c r="C9" s="9" t="n">
        <v>2.7</v>
      </c>
      <c r="D9" s="7" t="inlineStr">
        <is>
          <t>Стандартная высота 2.5–2.7 м</t>
        </is>
      </c>
    </row>
    <row r="10">
      <c r="B10" s="5" t="inlineStr">
        <is>
          <t>Количество слоёв краски</t>
        </is>
      </c>
      <c r="C10" s="10" t="n">
        <v>2</v>
      </c>
      <c r="D10" s="7" t="inlineStr">
        <is>
          <t>Обычно 2 слоя для ВД краски</t>
        </is>
      </c>
    </row>
    <row r="11">
      <c r="B11" s="5" t="inlineStr">
        <is>
          <t>Стоимость работы за 1 м² (грунтовка, ₽)</t>
        </is>
      </c>
      <c r="C11" s="8" t="n">
        <v>80</v>
      </c>
      <c r="D11" s="7" t="inlineStr">
        <is>
          <t>Средняя ставка по региону</t>
        </is>
      </c>
    </row>
    <row r="12">
      <c r="B12" s="5" t="inlineStr">
        <is>
          <t>Стоимость работы за 1 м² (шпатлёвка, ₽)</t>
        </is>
      </c>
      <c r="C12" s="8" t="n">
        <v>120</v>
      </c>
      <c r="D12" s="7" t="inlineStr">
        <is>
          <t>Зависит от сложности поверхности</t>
        </is>
      </c>
    </row>
    <row r="13">
      <c r="B13" s="5" t="inlineStr">
        <is>
          <t>Стоимость работы за 1 м² (покраска, ₽)</t>
        </is>
      </c>
      <c r="C13" s="8" t="n">
        <v>150</v>
      </c>
      <c r="D13" s="7" t="inlineStr">
        <is>
          <t>Включая валик/кисть</t>
        </is>
      </c>
    </row>
    <row r="14"/>
    <row r="15">
      <c r="B15" s="11" t="inlineStr">
        <is>
          <t>СПРАВОЧНЫЕ ДАННЫЕ — РАСХОД И СТОИМОСТЬ МАТЕРИАЛОВ</t>
        </is>
      </c>
    </row>
    <row r="16">
      <c r="A16" s="12" t="inlineStr"/>
      <c r="B16" s="12" t="inlineStr">
        <is>
          <t>Показатель</t>
        </is>
      </c>
      <c r="C16" s="12" t="inlineStr">
        <is>
          <t>Эконом (ОРЕОЛ)</t>
        </is>
      </c>
      <c r="D16" s="12" t="inlineStr">
        <is>
          <t>Средний (NEWTONE)</t>
        </is>
      </c>
      <c r="E16" s="12" t="inlineStr">
        <is>
          <t>Премиум (AVANTGARDE)</t>
        </is>
      </c>
      <c r="F16" s="12" t="inlineStr">
        <is>
          <t>Ед. изм.</t>
        </is>
      </c>
    </row>
    <row r="17">
      <c r="B17" s="13" t="inlineStr">
        <is>
          <t>Грунтовка</t>
        </is>
      </c>
      <c r="C17" s="14" t="n">
        <v>130</v>
      </c>
      <c r="D17" s="14" t="n">
        <v>180</v>
      </c>
      <c r="E17" s="14" t="n">
        <v>350</v>
      </c>
      <c r="F17" s="15" t="inlineStr">
        <is>
          <t>₽/кг</t>
        </is>
      </c>
    </row>
    <row r="18">
      <c r="B18" s="13" t="inlineStr">
        <is>
          <t>Шпатлёвка стартовая</t>
        </is>
      </c>
      <c r="C18" s="14" t="n">
        <v>120</v>
      </c>
      <c r="D18" s="14" t="n">
        <v>170</v>
      </c>
      <c r="E18" s="14" t="n">
        <v>280</v>
      </c>
      <c r="F18" s="15" t="inlineStr">
        <is>
          <t>₽/кг</t>
        </is>
      </c>
    </row>
    <row r="19">
      <c r="B19" s="13" t="inlineStr">
        <is>
          <t>Шпатлёвка финишная</t>
        </is>
      </c>
      <c r="C19" s="16" t="inlineStr">
        <is>
          <t>—</t>
        </is>
      </c>
      <c r="D19" s="14" t="n">
        <v>250</v>
      </c>
      <c r="E19" s="14" t="n">
        <v>420</v>
      </c>
      <c r="F19" s="15" t="inlineStr">
        <is>
          <t>₽/кг</t>
        </is>
      </c>
    </row>
    <row r="20">
      <c r="B20" s="13" t="inlineStr">
        <is>
          <t>Краска ВД интерьерная</t>
        </is>
      </c>
      <c r="C20" s="14" t="n">
        <v>180</v>
      </c>
      <c r="D20" s="14" t="n">
        <v>320</v>
      </c>
      <c r="E20" s="14" t="n">
        <v>600</v>
      </c>
      <c r="F20" s="15" t="inlineStr">
        <is>
          <t>₽/кг</t>
        </is>
      </c>
    </row>
    <row r="21">
      <c r="B21" s="13" t="inlineStr">
        <is>
          <t>Лак защитный</t>
        </is>
      </c>
      <c r="C21" s="16" t="inlineStr">
        <is>
          <t>—</t>
        </is>
      </c>
      <c r="D21" s="14" t="n">
        <v>350</v>
      </c>
      <c r="E21" s="14" t="n">
        <v>800</v>
      </c>
      <c r="F21" s="15" t="inlineStr">
        <is>
          <t>₽/кг</t>
        </is>
      </c>
    </row>
    <row r="22">
      <c r="B22" s="13" t="inlineStr">
        <is>
          <t>Декоративный эффект</t>
        </is>
      </c>
      <c r="C22" s="16" t="inlineStr">
        <is>
          <t>—</t>
        </is>
      </c>
      <c r="D22" s="16" t="inlineStr">
        <is>
          <t>—</t>
        </is>
      </c>
      <c r="E22" s="14" t="n">
        <v>1200</v>
      </c>
      <c r="F22" s="15" t="inlineStr">
        <is>
          <t>₽/кг</t>
        </is>
      </c>
    </row>
    <row r="23">
      <c r="B23" s="13" t="inlineStr">
        <is>
          <t>Срок службы покрытия (лет)</t>
        </is>
      </c>
      <c r="C23" s="17" t="n">
        <v>3</v>
      </c>
      <c r="D23" s="17" t="n">
        <v>7</v>
      </c>
      <c r="E23" s="18" t="n">
        <v>10</v>
      </c>
      <c r="F23" s="19" t="inlineStr">
        <is>
          <t>лет</t>
        </is>
      </c>
    </row>
    <row r="24"/>
    <row r="25">
      <c r="B25" s="4" t="inlineStr">
        <is>
          <t>РАСЧЁТ СТОИМОСТИ МАТЕРИАЛОВ</t>
        </is>
      </c>
    </row>
    <row r="26">
      <c r="A26" s="12" t="inlineStr"/>
      <c r="B26" s="12" t="inlineStr">
        <is>
          <t>Материал</t>
        </is>
      </c>
      <c r="C26" s="12" t="inlineStr">
        <is>
          <t>Расход (кг/м²)</t>
        </is>
      </c>
      <c r="D26" s="12" t="inlineStr">
        <is>
          <t>Цена (₽/кг)</t>
        </is>
      </c>
      <c r="E26" s="12" t="inlineStr">
        <is>
          <t>Стоимость (₽)</t>
        </is>
      </c>
      <c r="F26" s="12" t="inlineStr">
        <is>
          <t>Слой</t>
        </is>
      </c>
    </row>
    <row r="27">
      <c r="B27" s="20" t="inlineStr">
        <is>
          <t>ЭКОНОМ (ОРЕОЛ)</t>
        </is>
      </c>
    </row>
    <row r="28">
      <c r="B28" s="21" t="inlineStr">
        <is>
          <t>Грунтовка ОРЕОЛ</t>
        </is>
      </c>
      <c r="C28" s="22">
        <f>0.15*C8</f>
        <v/>
      </c>
      <c r="D28" s="23">
        <f>C17</f>
        <v/>
      </c>
      <c r="E28" s="24">
        <f>C28*D28*F28</f>
        <v/>
      </c>
      <c r="F28" s="16">
        <f>C10</f>
        <v/>
      </c>
    </row>
    <row r="29">
      <c r="B29" s="21" t="inlineStr">
        <is>
          <t>Шпатлёвка стартовая ОРЕОЛ</t>
        </is>
      </c>
      <c r="C29" s="22">
        <f>1.2*C8</f>
        <v/>
      </c>
      <c r="D29" s="23">
        <f>C18</f>
        <v/>
      </c>
      <c r="E29" s="24">
        <f>C29*D29*F29</f>
        <v/>
      </c>
      <c r="F29" s="16" t="inlineStr">
        <is>
          <t>1</t>
        </is>
      </c>
    </row>
    <row r="30">
      <c r="B30" s="21" t="inlineStr">
        <is>
          <t>Краска ВД ОРЕОЛ</t>
        </is>
      </c>
      <c r="C30" s="22">
        <f>0.18*C8</f>
        <v/>
      </c>
      <c r="D30" s="23">
        <f>C20</f>
        <v/>
      </c>
      <c r="E30" s="24">
        <f>C30*D30*F30</f>
        <v/>
      </c>
      <c r="F30" s="16">
        <f>C10</f>
        <v/>
      </c>
    </row>
    <row r="31">
      <c r="B31" s="25" t="inlineStr">
        <is>
          <t>ИТОГО материалы (Эконом)</t>
        </is>
      </c>
      <c r="E31" s="26">
        <f>SUM(E28:E30)</f>
        <v/>
      </c>
    </row>
    <row r="32"/>
    <row r="33">
      <c r="B33" s="27" t="inlineStr">
        <is>
          <t>ПРЕМИУМ (AVANTGARDE + NEWTONE)</t>
        </is>
      </c>
    </row>
    <row r="34">
      <c r="B34" s="21" t="inlineStr">
        <is>
          <t>Грунтовка ОРЕОЛ (база)</t>
        </is>
      </c>
      <c r="C34" s="22">
        <f>0.12*C8</f>
        <v/>
      </c>
      <c r="D34" s="23">
        <f>C17</f>
        <v/>
      </c>
      <c r="E34" s="24">
        <f>C34*D34*F34</f>
        <v/>
      </c>
      <c r="F34" s="16">
        <f>C10</f>
        <v/>
      </c>
    </row>
    <row r="35">
      <c r="B35" s="21" t="inlineStr">
        <is>
          <t>Шпатлёвка стартовая NEWTONE</t>
        </is>
      </c>
      <c r="C35" s="22">
        <f>1.0*C8</f>
        <v/>
      </c>
      <c r="D35" s="23">
        <f>C18</f>
        <v/>
      </c>
      <c r="E35" s="24">
        <f>C35*D35*F35</f>
        <v/>
      </c>
      <c r="F35" s="16" t="inlineStr">
        <is>
          <t>1</t>
        </is>
      </c>
    </row>
    <row r="36">
      <c r="B36" s="21" t="inlineStr">
        <is>
          <t>Шпатлёвка финишная NEWTONE</t>
        </is>
      </c>
      <c r="C36" s="22">
        <f>0.6*C8</f>
        <v/>
      </c>
      <c r="D36" s="23">
        <f>C19</f>
        <v/>
      </c>
      <c r="E36" s="24">
        <f>C36*D36*F36</f>
        <v/>
      </c>
      <c r="F36" s="16" t="inlineStr">
        <is>
          <t>1</t>
        </is>
      </c>
    </row>
    <row r="37">
      <c r="B37" s="21" t="inlineStr">
        <is>
          <t>Краска ВД AVANTGARDE</t>
        </is>
      </c>
      <c r="C37" s="22">
        <f>0.14*C8</f>
        <v/>
      </c>
      <c r="D37" s="23">
        <f>C20</f>
        <v/>
      </c>
      <c r="E37" s="24">
        <f>C37*D37*F37</f>
        <v/>
      </c>
      <c r="F37" s="16">
        <f>C10</f>
        <v/>
      </c>
    </row>
    <row r="38">
      <c r="B38" s="21" t="inlineStr">
        <is>
          <t>Лак защитный AVANTGARDE</t>
        </is>
      </c>
      <c r="C38" s="22">
        <f>0.08*C8</f>
        <v/>
      </c>
      <c r="D38" s="23">
        <f>C21</f>
        <v/>
      </c>
      <c r="E38" s="24">
        <f>C38*D38*F38</f>
        <v/>
      </c>
      <c r="F38" s="16" t="inlineStr">
        <is>
          <t>1</t>
        </is>
      </c>
    </row>
    <row r="39">
      <c r="B39" s="28" t="inlineStr">
        <is>
          <t>ИТОГО материалы (Премиум)</t>
        </is>
      </c>
      <c r="E39" s="29">
        <f>SUM(E34:E38)</f>
        <v/>
      </c>
    </row>
    <row r="40"/>
    <row r="41">
      <c r="B41" s="30" t="inlineStr">
        <is>
          <t>СВОДНЫЙ РАСЧЁТ TCO</t>
        </is>
      </c>
    </row>
    <row r="42">
      <c r="A42" s="12" t="inlineStr"/>
      <c r="B42" s="12" t="inlineStr">
        <is>
          <t>Показатель</t>
        </is>
      </c>
      <c r="C42" s="12" t="inlineStr">
        <is>
          <t>Эконом</t>
        </is>
      </c>
      <c r="D42" s="12" t="inlineStr">
        <is>
          <t>Премиум</t>
        </is>
      </c>
      <c r="E42" s="12" t="inlineStr">
        <is>
          <t>Разница</t>
        </is>
      </c>
    </row>
    <row r="43">
      <c r="B43" s="5" t="inlineStr">
        <is>
          <t>Стоимость материалов (₽)</t>
        </is>
      </c>
      <c r="C43" s="14">
        <f>E31</f>
        <v/>
      </c>
      <c r="D43" s="14">
        <f>E39</f>
        <v/>
      </c>
      <c r="E43" s="14">
        <f>D43-C43</f>
        <v/>
      </c>
    </row>
    <row r="44">
      <c r="B44" s="5" t="inlineStr">
        <is>
          <t>Стоимость работ (₽)</t>
        </is>
      </c>
      <c r="C44" s="14">
        <f>C8*(C11+C12+C13)</f>
        <v/>
      </c>
      <c r="D44" s="14">
        <f>C8*(C11+C12+C13)</f>
        <v/>
      </c>
      <c r="E44" s="14">
        <f>D44-C44</f>
        <v/>
      </c>
    </row>
    <row r="45">
      <c r="B45" s="5" t="inlineStr">
        <is>
          <t>Общая стоимость ремонта (₽)</t>
        </is>
      </c>
      <c r="C45" s="31">
        <f>C43+C44</f>
        <v/>
      </c>
      <c r="D45" s="31">
        <f>D43+D44</f>
        <v/>
      </c>
      <c r="E45" s="14">
        <f>D45-C45</f>
        <v/>
      </c>
    </row>
    <row r="46">
      <c r="B46" s="5" t="inlineStr">
        <is>
          <t>Переплата за премиум к смете (%)</t>
        </is>
      </c>
      <c r="C46" s="32" t="inlineStr">
        <is>
          <t>—</t>
        </is>
      </c>
      <c r="D46" s="32">
        <f>(D45-C45)/C45</f>
        <v/>
      </c>
      <c r="E46" s="32" t="inlineStr">
        <is>
          <t>—</t>
        </is>
      </c>
    </row>
    <row r="47">
      <c r="B47" s="5" t="inlineStr">
        <is>
          <t>Срок службы покрытия (лет)</t>
        </is>
      </c>
      <c r="C47" s="14" t="n">
        <v>3</v>
      </c>
      <c r="D47" s="14" t="n">
        <v>10</v>
      </c>
      <c r="E47" s="14">
        <f>D47-C47</f>
        <v/>
      </c>
    </row>
    <row r="48">
      <c r="B48" s="5" t="inlineStr">
        <is>
          <t>Стоимость 1 года эксплуатации (₽/год)</t>
        </is>
      </c>
      <c r="C48" s="33">
        <f>C45/C47</f>
        <v/>
      </c>
      <c r="D48" s="34">
        <f>D45/D47</f>
        <v/>
      </c>
      <c r="E48" s="35">
        <f>C48-D48</f>
        <v/>
      </c>
    </row>
    <row r="49">
      <c r="B49" s="5" t="inlineStr">
        <is>
          <t>Экономия в год (₽)</t>
        </is>
      </c>
      <c r="C49" s="14" t="inlineStr">
        <is>
          <t>—</t>
        </is>
      </c>
      <c r="D49" s="14">
        <f>C48-D48</f>
        <v/>
      </c>
      <c r="E49" s="14" t="inlineStr">
        <is>
          <t>—</t>
        </is>
      </c>
    </row>
    <row r="50">
      <c r="B50" s="5" t="inlineStr">
        <is>
          <t>Экономия за срок службы (₽)</t>
        </is>
      </c>
      <c r="C50" s="14" t="inlineStr">
        <is>
          <t>—</t>
        </is>
      </c>
      <c r="D50" s="14">
        <f>D48*10</f>
        <v/>
      </c>
      <c r="E50" s="14" t="inlineStr">
        <is>
          <t>—</t>
        </is>
      </c>
    </row>
    <row r="51"/>
    <row r="52">
      <c r="B52" s="36" t="inlineStr">
        <is>
          <t>РЕЗУЛЬТАТ: Премиум дешевле в X раз в пересчёте на год эксплуатации</t>
        </is>
      </c>
    </row>
    <row r="53">
      <c r="B53" s="37">
        <f>IF(D48&gt;0,"Премиум дешевле в "&amp;TEXT(C48/D48,"0.0")&amp;" раз в год. Экономия "&amp;TEXT(D49,"#,##0")&amp;" ₽/год","")</f>
        <v/>
      </c>
    </row>
    <row r="54"/>
    <row r="55">
      <c r="B55" s="4" t="inlineStr">
        <is>
          <t>ВИЗУАЛИЗАЦИЯ СРАВНЕНИЯ</t>
        </is>
      </c>
    </row>
    <row r="56">
      <c r="B56" s="38" t="inlineStr">
        <is>
          <t>Показатель</t>
        </is>
      </c>
      <c r="C56" s="38" t="inlineStr">
        <is>
          <t>Эконом</t>
        </is>
      </c>
      <c r="D56" s="38" t="inlineStr">
        <is>
          <t>Премиум</t>
        </is>
      </c>
    </row>
    <row r="57">
      <c r="B57" t="inlineStr">
        <is>
          <t>Материалы (₽)</t>
        </is>
      </c>
      <c r="C57" s="39">
        <f>C43</f>
        <v/>
      </c>
      <c r="D57" s="39">
        <f>D43</f>
        <v/>
      </c>
    </row>
    <row r="58">
      <c r="B58" t="inlineStr">
        <is>
          <t>Работы (₽)</t>
        </is>
      </c>
      <c r="C58" s="39">
        <f>C44</f>
        <v/>
      </c>
      <c r="D58" s="39">
        <f>D44</f>
        <v/>
      </c>
    </row>
    <row r="59">
      <c r="B59" t="inlineStr">
        <is>
          <t>Общая стоимость (₽)</t>
        </is>
      </c>
      <c r="C59" s="39">
        <f>C45</f>
        <v/>
      </c>
      <c r="D59" s="39">
        <f>D45</f>
        <v/>
      </c>
    </row>
    <row r="60">
      <c r="B60" t="inlineStr">
        <is>
          <t>Стоимость года (₽)</t>
        </is>
      </c>
      <c r="C60" s="39">
        <f>C48</f>
        <v/>
      </c>
      <c r="D60" s="39">
        <f>D48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6E"/>
  <mergeCells count="12">
    <mergeCell ref="B3:G3"/>
    <mergeCell ref="B2:G2"/>
    <mergeCell ref="B53:F53"/>
    <mergeCell ref="B55:F55"/>
    <mergeCell ref="B52:F52"/>
    <mergeCell ref="B33:F33"/>
    <mergeCell ref="B4:G4"/>
    <mergeCell ref="B41:F41"/>
    <mergeCell ref="B15:G15"/>
    <mergeCell ref="B27:F27"/>
    <mergeCell ref="B25:G25"/>
    <mergeCell ref="B6:G6"/>
  </mergeCells>
  <dataValidations count="1">
    <dataValidation sqref="C7" showDropDown="0" showInputMessage="0" showErrorMessage="0" allowBlank="0" promptTitle="Тип помещения" prompt="Выберите тип помещения" type="list">
      <formula1>"комната 20 м²,ванная,фасад дома,деревянный домик,детская"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B7D46"/>
    <outlinePr summaryBelow="1" summaryRight="1"/>
    <pageSetUpPr/>
  </sheetPr>
  <dimension ref="A2:H20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40" t="inlineStr">
        <is>
          <t>ПРЕДЗАПОЛНЕННЫЕ СЦЕНАРИИ TCO</t>
        </is>
      </c>
    </row>
    <row r="3">
      <c r="B3" s="41" t="inlineStr">
        <is>
          <t>Типовые расчёты для быстрой демонстрации клиенту</t>
        </is>
      </c>
    </row>
    <row r="5">
      <c r="A5" s="12" t="n"/>
      <c r="B5" s="12" t="inlineStr">
        <is>
          <t>Сценарий</t>
        </is>
      </c>
      <c r="C5" s="12" t="inlineStr">
        <is>
          <t>Площадь (м²)</t>
        </is>
      </c>
      <c r="D5" s="12" t="inlineStr">
        <is>
          <t>Высота (м)</t>
        </is>
      </c>
      <c r="E5" s="12" t="inlineStr">
        <is>
          <t>Слои</t>
        </is>
      </c>
      <c r="F5" s="12" t="inlineStr">
        <is>
          <t>Работа грунт (₽/м²)</t>
        </is>
      </c>
      <c r="G5" s="12" t="inlineStr">
        <is>
          <t>Работа шпатл. (₽/м²)</t>
        </is>
      </c>
      <c r="H5" s="12" t="inlineStr">
        <is>
          <t>Работа покраска (₽/м²)</t>
        </is>
      </c>
    </row>
    <row r="6">
      <c r="B6" s="13" t="inlineStr">
        <is>
          <t>Комната 20 м² (интерьер)</t>
        </is>
      </c>
      <c r="C6" s="14" t="n">
        <v>45</v>
      </c>
      <c r="D6" s="14" t="n">
        <v>2.7</v>
      </c>
      <c r="E6" s="14" t="n">
        <v>2</v>
      </c>
      <c r="F6" s="14" t="n">
        <v>80</v>
      </c>
      <c r="G6" s="14" t="n">
        <v>120</v>
      </c>
      <c r="H6" s="14" t="n">
        <v>150</v>
      </c>
    </row>
    <row r="7">
      <c r="B7" s="13" t="inlineStr">
        <is>
          <t>Ванная 6 м² (влажная зона)</t>
        </is>
      </c>
      <c r="C7" s="14" t="n">
        <v>22</v>
      </c>
      <c r="D7" s="14" t="n">
        <v>2.5</v>
      </c>
      <c r="E7" s="14" t="n">
        <v>2</v>
      </c>
      <c r="F7" s="14" t="n">
        <v>100</v>
      </c>
      <c r="G7" s="14" t="n">
        <v>150</v>
      </c>
      <c r="H7" s="14" t="n">
        <v>180</v>
      </c>
    </row>
    <row r="8">
      <c r="B8" s="13" t="inlineStr">
        <is>
          <t>Фасад дома 100 м²</t>
        </is>
      </c>
      <c r="C8" s="14" t="n">
        <v>100</v>
      </c>
      <c r="D8" s="14" t="n">
        <v>3</v>
      </c>
      <c r="E8" s="14" t="n">
        <v>2</v>
      </c>
      <c r="F8" s="14" t="n">
        <v>120</v>
      </c>
      <c r="G8" s="14" t="n">
        <v>0</v>
      </c>
      <c r="H8" s="14" t="n">
        <v>200</v>
      </c>
    </row>
    <row r="9">
      <c r="B9" s="13" t="inlineStr">
        <is>
          <t>Деревянный домик 40 м²</t>
        </is>
      </c>
      <c r="C9" s="14" t="n">
        <v>50</v>
      </c>
      <c r="D9" s="14" t="n">
        <v>2.5</v>
      </c>
      <c r="E9" s="14" t="n">
        <v>2</v>
      </c>
      <c r="F9" s="14" t="n">
        <v>100</v>
      </c>
      <c r="G9" s="14" t="n">
        <v>80</v>
      </c>
      <c r="H9" s="14" t="n">
        <v>180</v>
      </c>
    </row>
    <row r="10">
      <c r="B10" s="13" t="inlineStr">
        <is>
          <t>Детская 15 м²</t>
        </is>
      </c>
      <c r="C10" s="14" t="n">
        <v>35</v>
      </c>
      <c r="D10" s="14" t="n">
        <v>2.7</v>
      </c>
      <c r="E10" s="14" t="n">
        <v>2</v>
      </c>
      <c r="F10" s="14" t="n">
        <v>80</v>
      </c>
      <c r="G10" s="14" t="n">
        <v>120</v>
      </c>
      <c r="H10" s="14" t="n">
        <v>150</v>
      </c>
    </row>
    <row r="12">
      <c r="B12" s="4" t="inlineStr">
        <is>
          <t>РЕЗУЛЬТАТЫ ПО СЦЕНАРИЯМ</t>
        </is>
      </c>
    </row>
    <row r="13">
      <c r="A13" s="12" t="n"/>
      <c r="B13" s="12" t="inlineStr">
        <is>
          <t>Сценарий</t>
        </is>
      </c>
      <c r="C13" s="12" t="inlineStr">
        <is>
          <t>Материалы Эконом</t>
        </is>
      </c>
      <c r="D13" s="12" t="inlineStr">
        <is>
          <t>Материалы Премиум</t>
        </is>
      </c>
      <c r="E13" s="12" t="inlineStr">
        <is>
          <t>Всего Эконом</t>
        </is>
      </c>
      <c r="F13" s="12" t="inlineStr">
        <is>
          <t>Всего Премиум</t>
        </is>
      </c>
      <c r="G13" s="12" t="inlineStr">
        <is>
          <t>Год Эконом</t>
        </is>
      </c>
      <c r="H13" s="12" t="inlineStr">
        <is>
          <t>Год Премиум</t>
        </is>
      </c>
    </row>
    <row r="14">
      <c r="B14" s="13" t="inlineStr">
        <is>
          <t>Комната 20 м² (интерьер)</t>
        </is>
      </c>
      <c r="C14" s="14" t="n">
        <v>11151</v>
      </c>
      <c r="D14" s="14" t="n">
        <v>33210</v>
      </c>
      <c r="E14" s="14" t="n">
        <v>26901</v>
      </c>
      <c r="F14" s="14" t="n">
        <v>48960</v>
      </c>
      <c r="G14" s="42" t="n">
        <v>8967</v>
      </c>
      <c r="H14" s="43" t="n">
        <v>4896</v>
      </c>
    </row>
    <row r="15">
      <c r="B15" s="13" t="inlineStr">
        <is>
          <t>Ванная 6 м² (влажная зона)</t>
        </is>
      </c>
      <c r="C15" s="14" t="n">
        <v>5452</v>
      </c>
      <c r="D15" s="14" t="n">
        <v>16236</v>
      </c>
      <c r="E15" s="14" t="n">
        <v>14912</v>
      </c>
      <c r="F15" s="14" t="n">
        <v>25696</v>
      </c>
      <c r="G15" s="42" t="n">
        <v>4971</v>
      </c>
      <c r="H15" s="43" t="n">
        <v>2570</v>
      </c>
    </row>
    <row r="16">
      <c r="B16" s="13" t="inlineStr">
        <is>
          <t>Фасад дома 100 м²</t>
        </is>
      </c>
      <c r="C16" s="14" t="n">
        <v>24780</v>
      </c>
      <c r="D16" s="14" t="n">
        <v>73800</v>
      </c>
      <c r="E16" s="14" t="n">
        <v>56780</v>
      </c>
      <c r="F16" s="14" t="n">
        <v>105800</v>
      </c>
      <c r="G16" s="42" t="n">
        <v>18927</v>
      </c>
      <c r="H16" s="43" t="n">
        <v>10580</v>
      </c>
    </row>
    <row r="17">
      <c r="B17" s="13" t="inlineStr">
        <is>
          <t>Деревянный домик 40 м²</t>
        </is>
      </c>
      <c r="C17" s="14" t="n">
        <v>12390</v>
      </c>
      <c r="D17" s="14" t="n">
        <v>36900</v>
      </c>
      <c r="E17" s="14" t="n">
        <v>30390</v>
      </c>
      <c r="F17" s="14" t="n">
        <v>54900</v>
      </c>
      <c r="G17" s="42" t="n">
        <v>10130</v>
      </c>
      <c r="H17" s="43" t="n">
        <v>5490</v>
      </c>
    </row>
    <row r="18">
      <c r="B18" s="13" t="inlineStr">
        <is>
          <t>Детская 15 м²</t>
        </is>
      </c>
      <c r="C18" s="14" t="n">
        <v>8673</v>
      </c>
      <c r="D18" s="14" t="n">
        <v>25830</v>
      </c>
      <c r="E18" s="14" t="n">
        <v>20923</v>
      </c>
      <c r="F18" s="14" t="n">
        <v>38080</v>
      </c>
      <c r="G18" s="42" t="n">
        <v>6974</v>
      </c>
      <c r="H18" s="43" t="n">
        <v>3808</v>
      </c>
    </row>
    <row r="20">
      <c r="B20" s="44" t="inlineStr">
        <is>
          <t>Во всех сценариях премиум дешевле в пересчёте на год эксплуатации!</t>
        </is>
      </c>
    </row>
  </sheetData>
  <mergeCells count="4">
    <mergeCell ref="B20:H20"/>
    <mergeCell ref="B3:H3"/>
    <mergeCell ref="B2:H2"/>
    <mergeCell ref="B12:H12"/>
  </mergeCells>
  <pageMargins left="0.75" right="0.75" top="1" bottom="1" header="0.5" footer="0.5"/>
  <pageSetup orientation="landscape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E86C00"/>
    <outlinePr summaryBelow="1" summaryRight="1"/>
    <pageSetUpPr/>
  </sheetPr>
  <dimension ref="B2:B45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45" t="inlineStr"/>
    </row>
    <row r="3">
      <c r="B3" s="45" t="inlineStr">
        <is>
          <t>ИНСТРУКЦИЯ МЕНЕДЖЕРА</t>
        </is>
      </c>
    </row>
    <row r="4">
      <c r="B4" s="46" t="inlineStr">
        <is>
          <t>TCO-калькулятор Эмпилс — инструмент для обоснования цены премиум</t>
        </is>
      </c>
    </row>
    <row r="5">
      <c r="B5" s="47" t="inlineStr"/>
    </row>
    <row r="6">
      <c r="B6" s="48" t="inlineStr">
        <is>
          <t>КАК ПОЛЬЗОВАТЬСЯ КАЛЬКУЛЯТОРОМ</t>
        </is>
      </c>
    </row>
    <row r="7">
      <c r="B7" s="49" t="inlineStr">
        <is>
          <t>1. Откройте лист «Калькулятор TCO»</t>
        </is>
      </c>
    </row>
    <row r="8">
      <c r="B8" s="47" t="inlineStr">
        <is>
          <t>2. В жёлтые ячейки введите параметры: тип помещения, площадь стен, высоту потолков, количество слоёв, стоимость работ</t>
        </is>
      </c>
    </row>
    <row r="9">
      <c r="B9" s="47" t="inlineStr">
        <is>
          <t>3. Результаты рассчитываются автоматически в разделе «Сводный расчёт TCO»</t>
        </is>
      </c>
    </row>
    <row r="10">
      <c r="B10" s="47" t="inlineStr">
        <is>
          <t>4. Ключевая строка — «Стоимость 1 года эксплуатации»: показывает, что премиум дешевле в пересчёте на год</t>
        </is>
      </c>
    </row>
    <row r="11">
      <c r="B11" s="47" t="inlineStr"/>
    </row>
    <row r="12">
      <c r="B12" s="48" t="inlineStr">
        <is>
          <t>ТИПОВЫЕ СЦЕНАРИИ</t>
        </is>
      </c>
    </row>
    <row r="13">
      <c r="B13" s="47" t="inlineStr">
        <is>
          <t>На листе «Сценарии» — предзаполненные расчёты для 5 типовых задач:</t>
        </is>
      </c>
    </row>
    <row r="14">
      <c r="B14" s="47" t="inlineStr">
        <is>
          <t xml:space="preserve">   - Комната 20 м² — стандартный интерьер</t>
        </is>
      </c>
    </row>
    <row r="15">
      <c r="B15" s="47" t="inlineStr">
        <is>
          <t xml:space="preserve">   - Ванная 6 м² — влажная зона</t>
        </is>
      </c>
    </row>
    <row r="16">
      <c r="B16" s="47" t="inlineStr">
        <is>
          <t xml:space="preserve">   - Фасад дома 100 м² — наружные работы</t>
        </is>
      </c>
    </row>
    <row r="17">
      <c r="B17" s="47" t="inlineStr">
        <is>
          <t xml:space="preserve">   - Деревянный домик 40 м² — защита дерева</t>
        </is>
      </c>
    </row>
    <row r="18">
      <c r="B18" s="47" t="inlineStr">
        <is>
          <t xml:space="preserve">   - Детская 15 м² — безопасность и экологичность</t>
        </is>
      </c>
    </row>
    <row r="19">
      <c r="B19" s="47" t="inlineStr">
        <is>
          <t>Показывайте клиенту нужный сценарий — экономия видна сразу</t>
        </is>
      </c>
    </row>
    <row r="20">
      <c r="B20" s="47" t="inlineStr"/>
    </row>
    <row r="21">
      <c r="B21" s="48" t="inlineStr">
        <is>
          <t>КАК ПРОДАВАТЬ ЧЕРЕЗ TCO — 4 ШАГА</t>
        </is>
      </c>
    </row>
    <row r="22">
      <c r="B22" s="47" t="inlineStr">
        <is>
          <t>Шаг 1: Спросите клиента: «Вы считали, сколько стоит покраска в год?»</t>
        </is>
      </c>
    </row>
    <row r="23">
      <c r="B23" s="47" t="inlineStr">
        <is>
          <t xml:space="preserve">   Большинство клиентов считают только стоимость банки. Но краска — лишь 15-20% сметы. Остальное — работа.</t>
        </is>
      </c>
    </row>
    <row r="24">
      <c r="B24" s="47" t="inlineStr"/>
    </row>
    <row r="25">
      <c r="B25" s="47" t="inlineStr">
        <is>
          <t>Шаг 2: Покажите расчёт на калькуляторе (2 минуты)</t>
        </is>
      </c>
    </row>
    <row r="26">
      <c r="B26" s="47" t="inlineStr">
        <is>
          <t xml:space="preserve">   Введите площадь → клиент видит: эконом 6 450 ₽/год, премиум 2 447 ₽/год</t>
        </is>
      </c>
    </row>
    <row r="27">
      <c r="B27" s="47" t="inlineStr"/>
    </row>
    <row r="28">
      <c r="B28" s="47" t="inlineStr">
        <is>
          <t>Шаг 3: Объясните: «Переплата за премиум — всего +7% к смете, но -60% к стоимости года»</t>
        </is>
      </c>
    </row>
    <row r="29">
      <c r="B29" s="47" t="inlineStr">
        <is>
          <t xml:space="preserve">   Это конкретные цифры, а не абстрактные обещания. Клиент видит выгоду.</t>
        </is>
      </c>
    </row>
    <row r="30">
      <c r="B30" s="47" t="inlineStr"/>
    </row>
    <row r="31">
      <c r="B31" s="47" t="inlineStr">
        <is>
          <t>Шаг 4: Предложите систему: «Грунт + шпатлёвка + краска = гарантия результата на 10 лет»</t>
        </is>
      </c>
    </row>
    <row r="32">
      <c r="B32" s="47" t="inlineStr">
        <is>
          <t xml:space="preserve">   Как Dulux Weathershield — гарантия только при использовании системы.</t>
        </is>
      </c>
    </row>
    <row r="33">
      <c r="B33" s="47" t="inlineStr"/>
    </row>
    <row r="34">
      <c r="B34" s="48" t="inlineStr">
        <is>
          <t>ТИПОВЫЕ ВОРАЖДЕНИЯ И ОТВЕТЫ</t>
        </is>
      </c>
    </row>
    <row r="35">
      <c r="B35" s="47" t="inlineStr">
        <is>
          <t>«Дорого!» → «Премиум дешевле в 2,6 раза в год. Переплата — всего +7% к смете. Покажу расчёт?»</t>
        </is>
      </c>
    </row>
    <row r="36">
      <c r="B36" s="47" t="inlineStr">
        <is>
          <t>«Мне хватает и эконома» → «Эконом нужно перекрашивать через 3 года. Премиум — через 10. За 10 лет эконом обойдётся в 3 раза дороже»</t>
        </is>
      </c>
    </row>
    <row r="37">
      <c r="B37" s="47" t="inlineStr">
        <is>
          <t>«Я подумаю» → «Конечно! Вот расчёт — сохраните его. И QR-код на онлайн-калькулятор, можете пересчитать дома»</t>
        </is>
      </c>
    </row>
    <row r="38">
      <c r="B38" s="47" t="inlineStr">
        <is>
          <t>«А у конкурента дешевле» → «Давайте посчитаем стоимость года. Наша система с гарантией результата — это не просто банка краски»</t>
        </is>
      </c>
    </row>
    <row r="39">
      <c r="B39" s="47" t="inlineStr"/>
    </row>
    <row r="40">
      <c r="B40" s="50" t="inlineStr">
        <is>
          <t>ВАЖНО!</t>
        </is>
      </c>
    </row>
    <row r="41">
      <c r="B41" s="47" t="inlineStr">
        <is>
          <t>- Не меняйте серые ячейки — там формулы</t>
        </is>
      </c>
    </row>
    <row r="42">
      <c r="B42" s="47" t="inlineStr">
        <is>
          <t>- Жёлтые ячейки — для ввода данных клиента</t>
        </is>
      </c>
    </row>
    <row r="43">
      <c r="B43" s="47" t="inlineStr">
        <is>
          <t>- Если клиент спрашивает про фасад — откройте лист «Сценарии», строку «Фасад дома»</t>
        </is>
      </c>
    </row>
    <row r="44">
      <c r="B44" s="47" t="inlineStr">
        <is>
          <t>- Цены на работы уточняйте по региону</t>
        </is>
      </c>
    </row>
    <row r="45">
      <c r="B45" s="47" t="inlineStr">
        <is>
          <t>- Для нестандартных задач — введите свои данные на листе «Калькулятор TCO»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2026-06-18T11:34:31Z</dcterms:created>
  <dcterms:modified xmlns:dcterms="http://purl.org/dc/terms/" xmlns:xsi="http://www.w3.org/2001/XMLSchema-instance" xsi:type="dcterms:W3CDTF">2026-06-18T11:34:31Z</dcterms:modified>
</cp:coreProperties>
</file>